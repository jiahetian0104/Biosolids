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 codeName="ThisWorkbook" defaultThemeVersion="124226"/>
  <xr:revisionPtr revIDLastSave="0" documentId="13_ncr:1_{1296DC7C-B843-4ED8-ADB9-36FFA27ADB9B}" xr6:coauthVersionLast="47" xr6:coauthVersionMax="47" xr10:uidLastSave="{00000000-0000-0000-0000-000000000000}"/>
  <bookViews>
    <workbookView xWindow="-103" yWindow="-103" windowWidth="19406" windowHeight="11606" tabRatio="714" activeTab="1" xr2:uid="{00000000-000D-0000-FFFF-FFFF00000000}"/>
  </bookViews>
  <sheets>
    <sheet name="Soil-BCF" sheetId="12" r:id="rId1"/>
    <sheet name="PW-BCF+Kd " sheetId="17" r:id="rId2"/>
  </sheets>
  <calcPr calcId="191029"/>
</workbook>
</file>

<file path=xl/calcChain.xml><?xml version="1.0" encoding="utf-8"?>
<calcChain xmlns="http://schemas.openxmlformats.org/spreadsheetml/2006/main">
  <c r="B77" i="12" l="1"/>
  <c r="B67" i="12" l="1"/>
  <c r="D67" i="12"/>
  <c r="F58" i="17" l="1"/>
  <c r="M128" i="17" l="1"/>
  <c r="L128" i="17"/>
  <c r="K128" i="17"/>
  <c r="M127" i="17"/>
  <c r="L127" i="17"/>
  <c r="K127" i="17"/>
  <c r="M126" i="17"/>
  <c r="L126" i="17"/>
  <c r="N126" i="17" s="1"/>
  <c r="K126" i="17"/>
  <c r="M125" i="17"/>
  <c r="L125" i="17"/>
  <c r="K125" i="17"/>
  <c r="M124" i="17"/>
  <c r="L124" i="17"/>
  <c r="K124" i="17"/>
  <c r="M123" i="17"/>
  <c r="L123" i="17"/>
  <c r="K123" i="17"/>
  <c r="M122" i="17"/>
  <c r="L122" i="17"/>
  <c r="K122" i="17"/>
  <c r="M121" i="17"/>
  <c r="L121" i="17"/>
  <c r="O121" i="17" s="1"/>
  <c r="K121" i="17"/>
  <c r="M120" i="17"/>
  <c r="L120" i="17"/>
  <c r="K120" i="17"/>
  <c r="O120" i="17" s="1"/>
  <c r="M119" i="17"/>
  <c r="L119" i="17"/>
  <c r="K119" i="17"/>
  <c r="M118" i="17"/>
  <c r="L118" i="17"/>
  <c r="K118" i="17"/>
  <c r="M117" i="17"/>
  <c r="L117" i="17"/>
  <c r="K117" i="17"/>
  <c r="M116" i="17"/>
  <c r="L116" i="17"/>
  <c r="K116" i="17"/>
  <c r="M115" i="17"/>
  <c r="L115" i="17"/>
  <c r="K115" i="17"/>
  <c r="H128" i="17"/>
  <c r="G128" i="17"/>
  <c r="F128" i="17"/>
  <c r="H127" i="17"/>
  <c r="G127" i="17"/>
  <c r="F127" i="17"/>
  <c r="H126" i="17"/>
  <c r="G126" i="17"/>
  <c r="F126" i="17"/>
  <c r="H125" i="17"/>
  <c r="G125" i="17"/>
  <c r="F125" i="17"/>
  <c r="H124" i="17"/>
  <c r="G124" i="17"/>
  <c r="F124" i="17"/>
  <c r="H123" i="17"/>
  <c r="G123" i="17"/>
  <c r="F123" i="17"/>
  <c r="H122" i="17"/>
  <c r="G122" i="17"/>
  <c r="F122" i="17"/>
  <c r="H121" i="17"/>
  <c r="G121" i="17"/>
  <c r="F121" i="17"/>
  <c r="H120" i="17"/>
  <c r="G120" i="17"/>
  <c r="F120" i="17"/>
  <c r="H119" i="17"/>
  <c r="G119" i="17"/>
  <c r="F119" i="17"/>
  <c r="H118" i="17"/>
  <c r="G118" i="17"/>
  <c r="F118" i="17"/>
  <c r="H117" i="17"/>
  <c r="G117" i="17"/>
  <c r="F117" i="17"/>
  <c r="H116" i="17"/>
  <c r="G116" i="17"/>
  <c r="F116" i="17"/>
  <c r="H115" i="17"/>
  <c r="G115" i="17"/>
  <c r="F115" i="17"/>
  <c r="D128" i="17"/>
  <c r="C128" i="17"/>
  <c r="B128" i="17"/>
  <c r="D127" i="17"/>
  <c r="C127" i="17"/>
  <c r="B127" i="17"/>
  <c r="D126" i="17"/>
  <c r="C126" i="17"/>
  <c r="B126" i="17"/>
  <c r="D125" i="17"/>
  <c r="C125" i="17"/>
  <c r="B125" i="17"/>
  <c r="D124" i="17"/>
  <c r="C124" i="17"/>
  <c r="B124" i="17"/>
  <c r="D123" i="17"/>
  <c r="C123" i="17"/>
  <c r="B123" i="17"/>
  <c r="D122" i="17"/>
  <c r="C122" i="17"/>
  <c r="E122" i="17" s="1"/>
  <c r="B122" i="17"/>
  <c r="D121" i="17"/>
  <c r="C121" i="17"/>
  <c r="B121" i="17"/>
  <c r="D120" i="17"/>
  <c r="C120" i="17"/>
  <c r="B120" i="17"/>
  <c r="D119" i="17"/>
  <c r="C119" i="17"/>
  <c r="B119" i="17"/>
  <c r="D118" i="17"/>
  <c r="C118" i="17"/>
  <c r="B118" i="17"/>
  <c r="D117" i="17"/>
  <c r="C117" i="17"/>
  <c r="B117" i="17"/>
  <c r="D116" i="17"/>
  <c r="C116" i="17"/>
  <c r="B116" i="17"/>
  <c r="D115" i="17"/>
  <c r="C115" i="17"/>
  <c r="B115" i="17"/>
  <c r="O122" i="17" l="1"/>
  <c r="O127" i="17"/>
  <c r="J116" i="17"/>
  <c r="J124" i="17"/>
  <c r="O118" i="17"/>
  <c r="O123" i="17"/>
  <c r="O128" i="17"/>
  <c r="N121" i="17"/>
  <c r="N125" i="17"/>
  <c r="I121" i="17"/>
  <c r="O115" i="17"/>
  <c r="E115" i="17"/>
  <c r="J122" i="17"/>
  <c r="O116" i="17"/>
  <c r="E117" i="17"/>
  <c r="E124" i="17"/>
  <c r="J115" i="17"/>
  <c r="J123" i="17"/>
  <c r="N117" i="17"/>
  <c r="O124" i="17"/>
  <c r="J118" i="17"/>
  <c r="J126" i="17"/>
  <c r="E125" i="17"/>
  <c r="E119" i="17"/>
  <c r="E120" i="17"/>
  <c r="N120" i="17"/>
  <c r="J119" i="17"/>
  <c r="J127" i="17"/>
  <c r="N122" i="17"/>
  <c r="E121" i="17"/>
  <c r="E116" i="17"/>
  <c r="E118" i="17"/>
  <c r="E123" i="17"/>
  <c r="I117" i="17"/>
  <c r="I125" i="17"/>
  <c r="N118" i="17"/>
  <c r="O126" i="17"/>
  <c r="J120" i="17"/>
  <c r="J128" i="17"/>
  <c r="O119" i="17"/>
  <c r="N115" i="17"/>
  <c r="N119" i="17"/>
  <c r="N123" i="17"/>
  <c r="N127" i="17"/>
  <c r="O117" i="17"/>
  <c r="N116" i="17"/>
  <c r="N124" i="17"/>
  <c r="N128" i="17"/>
  <c r="O125" i="17"/>
  <c r="J117" i="17"/>
  <c r="I118" i="17"/>
  <c r="J121" i="17"/>
  <c r="I122" i="17"/>
  <c r="J125" i="17"/>
  <c r="I126" i="17"/>
  <c r="I115" i="17"/>
  <c r="I119" i="17"/>
  <c r="I123" i="17"/>
  <c r="I127" i="17"/>
  <c r="I116" i="17"/>
  <c r="I120" i="17"/>
  <c r="I124" i="17"/>
  <c r="I128" i="17"/>
  <c r="E126" i="17"/>
  <c r="E127" i="17"/>
  <c r="E128" i="17"/>
  <c r="M112" i="17" l="1"/>
  <c r="B99" i="17"/>
  <c r="G58" i="12" l="1"/>
  <c r="J42" i="12"/>
  <c r="K42" i="12"/>
  <c r="B51" i="17" l="1"/>
  <c r="F99" i="17" l="1"/>
  <c r="B67" i="17"/>
  <c r="E48" i="17"/>
  <c r="E35" i="17"/>
  <c r="M80" i="17" l="1"/>
  <c r="L80" i="17"/>
  <c r="K80" i="17"/>
  <c r="M79" i="17"/>
  <c r="L79" i="17"/>
  <c r="K79" i="17"/>
  <c r="M78" i="17"/>
  <c r="L78" i="17"/>
  <c r="K78" i="17"/>
  <c r="M77" i="17"/>
  <c r="L77" i="17"/>
  <c r="K77" i="17"/>
  <c r="M76" i="17"/>
  <c r="L76" i="17"/>
  <c r="K76" i="17"/>
  <c r="M75" i="17"/>
  <c r="L75" i="17"/>
  <c r="K75" i="17"/>
  <c r="M74" i="17"/>
  <c r="L74" i="17"/>
  <c r="K74" i="17"/>
  <c r="M73" i="17"/>
  <c r="L73" i="17"/>
  <c r="K73" i="17"/>
  <c r="M72" i="17"/>
  <c r="L72" i="17"/>
  <c r="K72" i="17"/>
  <c r="M71" i="17"/>
  <c r="L71" i="17"/>
  <c r="K71" i="17"/>
  <c r="M70" i="17"/>
  <c r="L70" i="17"/>
  <c r="K70" i="17"/>
  <c r="M69" i="17"/>
  <c r="L69" i="17"/>
  <c r="K69" i="17"/>
  <c r="M68" i="17"/>
  <c r="L68" i="17"/>
  <c r="K68" i="17"/>
  <c r="M67" i="17"/>
  <c r="L67" i="17"/>
  <c r="K67" i="17"/>
  <c r="H80" i="17"/>
  <c r="G80" i="17"/>
  <c r="F80" i="17"/>
  <c r="H79" i="17"/>
  <c r="G79" i="17"/>
  <c r="F79" i="17"/>
  <c r="H78" i="17"/>
  <c r="G78" i="17"/>
  <c r="F78" i="17"/>
  <c r="H77" i="17"/>
  <c r="G77" i="17"/>
  <c r="F77" i="17"/>
  <c r="H76" i="17"/>
  <c r="G76" i="17"/>
  <c r="F76" i="17"/>
  <c r="H75" i="17"/>
  <c r="G75" i="17"/>
  <c r="F75" i="17"/>
  <c r="H74" i="17"/>
  <c r="G74" i="17"/>
  <c r="F74" i="17"/>
  <c r="H73" i="17"/>
  <c r="G73" i="17"/>
  <c r="F73" i="17"/>
  <c r="H72" i="17"/>
  <c r="G72" i="17"/>
  <c r="F72" i="17"/>
  <c r="H71" i="17"/>
  <c r="G71" i="17"/>
  <c r="F71" i="17"/>
  <c r="H70" i="17"/>
  <c r="G70" i="17"/>
  <c r="F70" i="17"/>
  <c r="H69" i="17"/>
  <c r="G69" i="17"/>
  <c r="F69" i="17"/>
  <c r="H68" i="17"/>
  <c r="G68" i="17"/>
  <c r="F68" i="17"/>
  <c r="H67" i="17"/>
  <c r="G67" i="17"/>
  <c r="F67" i="17"/>
  <c r="D80" i="17"/>
  <c r="C80" i="17"/>
  <c r="B80" i="17"/>
  <c r="D79" i="17"/>
  <c r="C79" i="17"/>
  <c r="B79" i="17"/>
  <c r="D78" i="17"/>
  <c r="C78" i="17"/>
  <c r="B78" i="17"/>
  <c r="D77" i="17"/>
  <c r="C77" i="17"/>
  <c r="B77" i="17"/>
  <c r="D76" i="17"/>
  <c r="C76" i="17"/>
  <c r="B76" i="17"/>
  <c r="D75" i="17"/>
  <c r="C75" i="17"/>
  <c r="B75" i="17"/>
  <c r="D74" i="17"/>
  <c r="C74" i="17"/>
  <c r="B74" i="17"/>
  <c r="D73" i="17"/>
  <c r="C73" i="17"/>
  <c r="B73" i="17"/>
  <c r="D72" i="17"/>
  <c r="C72" i="17"/>
  <c r="B72" i="17"/>
  <c r="D71" i="17"/>
  <c r="C71" i="17"/>
  <c r="B71" i="17"/>
  <c r="D70" i="17"/>
  <c r="C70" i="17"/>
  <c r="B70" i="17"/>
  <c r="D69" i="17"/>
  <c r="C69" i="17"/>
  <c r="B69" i="17"/>
  <c r="D68" i="17"/>
  <c r="C68" i="17"/>
  <c r="B68" i="17"/>
  <c r="D67" i="17"/>
  <c r="C67" i="17"/>
  <c r="M64" i="17"/>
  <c r="L64" i="17"/>
  <c r="K64" i="17"/>
  <c r="M63" i="17"/>
  <c r="L63" i="17"/>
  <c r="K63" i="17"/>
  <c r="M62" i="17"/>
  <c r="L62" i="17"/>
  <c r="K62" i="17"/>
  <c r="M61" i="17"/>
  <c r="L61" i="17"/>
  <c r="K61" i="17"/>
  <c r="M60" i="17"/>
  <c r="L60" i="17"/>
  <c r="K60" i="17"/>
  <c r="M59" i="17"/>
  <c r="L59" i="17"/>
  <c r="K59" i="17"/>
  <c r="M58" i="17"/>
  <c r="L58" i="17"/>
  <c r="K58" i="17"/>
  <c r="M57" i="17"/>
  <c r="L57" i="17"/>
  <c r="K57" i="17"/>
  <c r="M56" i="17"/>
  <c r="L56" i="17"/>
  <c r="K56" i="17"/>
  <c r="M55" i="17"/>
  <c r="L55" i="17"/>
  <c r="K55" i="17"/>
  <c r="M54" i="17"/>
  <c r="L54" i="17"/>
  <c r="K54" i="17"/>
  <c r="M53" i="17"/>
  <c r="L53" i="17"/>
  <c r="K53" i="17"/>
  <c r="M52" i="17"/>
  <c r="L52" i="17"/>
  <c r="K52" i="17"/>
  <c r="M51" i="17"/>
  <c r="L51" i="17"/>
  <c r="K51" i="17"/>
  <c r="H64" i="17"/>
  <c r="G64" i="17"/>
  <c r="F64" i="17"/>
  <c r="H63" i="17"/>
  <c r="G63" i="17"/>
  <c r="F63" i="17"/>
  <c r="H62" i="17"/>
  <c r="G62" i="17"/>
  <c r="F62" i="17"/>
  <c r="H61" i="17"/>
  <c r="G61" i="17"/>
  <c r="F61" i="17"/>
  <c r="H60" i="17"/>
  <c r="G60" i="17"/>
  <c r="F60" i="17"/>
  <c r="H59" i="17"/>
  <c r="G59" i="17"/>
  <c r="F59" i="17"/>
  <c r="H58" i="17"/>
  <c r="G58" i="17"/>
  <c r="H57" i="17"/>
  <c r="G57" i="17"/>
  <c r="F57" i="17"/>
  <c r="H56" i="17"/>
  <c r="G56" i="17"/>
  <c r="F56" i="17"/>
  <c r="H55" i="17"/>
  <c r="G55" i="17"/>
  <c r="F55" i="17"/>
  <c r="H54" i="17"/>
  <c r="G54" i="17"/>
  <c r="F54" i="17"/>
  <c r="H53" i="17"/>
  <c r="G53" i="17"/>
  <c r="F53" i="17"/>
  <c r="H52" i="17"/>
  <c r="G52" i="17"/>
  <c r="F52" i="17"/>
  <c r="H51" i="17"/>
  <c r="G51" i="17"/>
  <c r="F51" i="17"/>
  <c r="D64" i="17"/>
  <c r="C64" i="17"/>
  <c r="B64" i="17"/>
  <c r="D63" i="17"/>
  <c r="C63" i="17"/>
  <c r="B63" i="17"/>
  <c r="D62" i="17"/>
  <c r="C62" i="17"/>
  <c r="B62" i="17"/>
  <c r="D61" i="17"/>
  <c r="C61" i="17"/>
  <c r="B61" i="17"/>
  <c r="D60" i="17"/>
  <c r="C60" i="17"/>
  <c r="B60" i="17"/>
  <c r="D59" i="17"/>
  <c r="C59" i="17"/>
  <c r="B59" i="17"/>
  <c r="D58" i="17"/>
  <c r="C58" i="17"/>
  <c r="B58" i="17"/>
  <c r="D57" i="17"/>
  <c r="C57" i="17"/>
  <c r="B57" i="17"/>
  <c r="D56" i="17"/>
  <c r="C56" i="17"/>
  <c r="B56" i="17"/>
  <c r="D55" i="17"/>
  <c r="C55" i="17"/>
  <c r="B55" i="17"/>
  <c r="D54" i="17"/>
  <c r="C54" i="17"/>
  <c r="B54" i="17"/>
  <c r="D53" i="17"/>
  <c r="C53" i="17"/>
  <c r="B53" i="17"/>
  <c r="D52" i="17"/>
  <c r="C52" i="17"/>
  <c r="B52" i="17"/>
  <c r="D51" i="17"/>
  <c r="C51" i="17"/>
  <c r="N80" i="12"/>
  <c r="M80" i="12"/>
  <c r="L80" i="12"/>
  <c r="N79" i="12"/>
  <c r="M79" i="12"/>
  <c r="L79" i="12"/>
  <c r="N78" i="12"/>
  <c r="M78" i="12"/>
  <c r="L78" i="12"/>
  <c r="N77" i="12"/>
  <c r="M77" i="12"/>
  <c r="L77" i="12"/>
  <c r="N76" i="12"/>
  <c r="M76" i="12"/>
  <c r="L76" i="12"/>
  <c r="N75" i="12"/>
  <c r="M75" i="12"/>
  <c r="L75" i="12"/>
  <c r="N74" i="12"/>
  <c r="M74" i="12"/>
  <c r="L74" i="12"/>
  <c r="N73" i="12"/>
  <c r="M73" i="12"/>
  <c r="L73" i="12"/>
  <c r="N72" i="12"/>
  <c r="M72" i="12"/>
  <c r="L72" i="12"/>
  <c r="N71" i="12"/>
  <c r="M71" i="12"/>
  <c r="L71" i="12"/>
  <c r="N70" i="12"/>
  <c r="M70" i="12"/>
  <c r="L70" i="12"/>
  <c r="N69" i="12"/>
  <c r="M69" i="12"/>
  <c r="L69" i="12"/>
  <c r="N68" i="12"/>
  <c r="M68" i="12"/>
  <c r="L68" i="12"/>
  <c r="N67" i="12"/>
  <c r="M67" i="12"/>
  <c r="L67" i="12"/>
  <c r="I80" i="12"/>
  <c r="H80" i="12"/>
  <c r="G80" i="12"/>
  <c r="I79" i="12"/>
  <c r="H79" i="12"/>
  <c r="G79" i="12"/>
  <c r="I78" i="12"/>
  <c r="H78" i="12"/>
  <c r="G78" i="12"/>
  <c r="I77" i="12"/>
  <c r="H77" i="12"/>
  <c r="G77" i="12"/>
  <c r="I76" i="12"/>
  <c r="H76" i="12"/>
  <c r="G76" i="12"/>
  <c r="I75" i="12"/>
  <c r="H75" i="12"/>
  <c r="G75" i="12"/>
  <c r="I74" i="12"/>
  <c r="H74" i="12"/>
  <c r="G74" i="12"/>
  <c r="I73" i="12"/>
  <c r="H73" i="12"/>
  <c r="G73" i="12"/>
  <c r="I72" i="12"/>
  <c r="H72" i="12"/>
  <c r="G72" i="12"/>
  <c r="I71" i="12"/>
  <c r="H71" i="12"/>
  <c r="G71" i="12"/>
  <c r="I70" i="12"/>
  <c r="H70" i="12"/>
  <c r="G70" i="12"/>
  <c r="I69" i="12"/>
  <c r="H69" i="12"/>
  <c r="G69" i="12"/>
  <c r="I68" i="12"/>
  <c r="H68" i="12"/>
  <c r="G68" i="12"/>
  <c r="I67" i="12"/>
  <c r="H67" i="12"/>
  <c r="G67" i="12"/>
  <c r="D80" i="12"/>
  <c r="C80" i="12"/>
  <c r="B80" i="12"/>
  <c r="D79" i="12"/>
  <c r="C79" i="12"/>
  <c r="B79" i="12"/>
  <c r="D78" i="12"/>
  <c r="C78" i="12"/>
  <c r="B78" i="12"/>
  <c r="D77" i="12"/>
  <c r="C77" i="12"/>
  <c r="D76" i="12"/>
  <c r="C76" i="12"/>
  <c r="B76" i="12"/>
  <c r="D75" i="12"/>
  <c r="C75" i="12"/>
  <c r="B75" i="12"/>
  <c r="D74" i="12"/>
  <c r="C74" i="12"/>
  <c r="B74" i="12"/>
  <c r="D73" i="12"/>
  <c r="C73" i="12"/>
  <c r="B73" i="12"/>
  <c r="D72" i="12"/>
  <c r="C72" i="12"/>
  <c r="B72" i="12"/>
  <c r="D71" i="12"/>
  <c r="C71" i="12"/>
  <c r="B71" i="12"/>
  <c r="D70" i="12"/>
  <c r="C70" i="12"/>
  <c r="B70" i="12"/>
  <c r="D69" i="12"/>
  <c r="C69" i="12"/>
  <c r="B69" i="12"/>
  <c r="D68" i="12"/>
  <c r="C68" i="12"/>
  <c r="B68" i="12"/>
  <c r="C67" i="12"/>
  <c r="E67" i="12" s="1"/>
  <c r="N64" i="12"/>
  <c r="M64" i="12"/>
  <c r="L64" i="12"/>
  <c r="N63" i="12"/>
  <c r="M63" i="12"/>
  <c r="L63" i="12"/>
  <c r="N62" i="12"/>
  <c r="M62" i="12"/>
  <c r="L62" i="12"/>
  <c r="N61" i="12"/>
  <c r="M61" i="12"/>
  <c r="L61" i="12"/>
  <c r="N60" i="12"/>
  <c r="M60" i="12"/>
  <c r="L60" i="12"/>
  <c r="N59" i="12"/>
  <c r="M59" i="12"/>
  <c r="L59" i="12"/>
  <c r="N58" i="12"/>
  <c r="M58" i="12"/>
  <c r="L58" i="12"/>
  <c r="N57" i="12"/>
  <c r="M57" i="12"/>
  <c r="L57" i="12"/>
  <c r="N56" i="12"/>
  <c r="M56" i="12"/>
  <c r="L56" i="12"/>
  <c r="N55" i="12"/>
  <c r="M55" i="12"/>
  <c r="L55" i="12"/>
  <c r="N54" i="12"/>
  <c r="M54" i="12"/>
  <c r="L54" i="12"/>
  <c r="N53" i="12"/>
  <c r="M53" i="12"/>
  <c r="L53" i="12"/>
  <c r="N52" i="12"/>
  <c r="M52" i="12"/>
  <c r="L52" i="12"/>
  <c r="N51" i="12"/>
  <c r="M51" i="12"/>
  <c r="L51" i="12"/>
  <c r="I64" i="12"/>
  <c r="H64" i="12"/>
  <c r="G64" i="12"/>
  <c r="I63" i="12"/>
  <c r="H63" i="12"/>
  <c r="G63" i="12"/>
  <c r="I62" i="12"/>
  <c r="H62" i="12"/>
  <c r="G62" i="12"/>
  <c r="I61" i="12"/>
  <c r="H61" i="12"/>
  <c r="G61" i="12"/>
  <c r="I60" i="12"/>
  <c r="H60" i="12"/>
  <c r="G60" i="12"/>
  <c r="I59" i="12"/>
  <c r="H59" i="12"/>
  <c r="G59" i="12"/>
  <c r="I58" i="12"/>
  <c r="H58" i="12"/>
  <c r="I57" i="12"/>
  <c r="H57" i="12"/>
  <c r="G57" i="12"/>
  <c r="I56" i="12"/>
  <c r="H56" i="12"/>
  <c r="G56" i="12"/>
  <c r="I55" i="12"/>
  <c r="H55" i="12"/>
  <c r="G55" i="12"/>
  <c r="I54" i="12"/>
  <c r="H54" i="12"/>
  <c r="G54" i="12"/>
  <c r="I53" i="12"/>
  <c r="H53" i="12"/>
  <c r="G53" i="12"/>
  <c r="I52" i="12"/>
  <c r="H52" i="12"/>
  <c r="G52" i="12"/>
  <c r="I51" i="12"/>
  <c r="H51" i="12"/>
  <c r="G51" i="12"/>
  <c r="D64" i="12"/>
  <c r="C64" i="12"/>
  <c r="B64" i="12"/>
  <c r="D63" i="12"/>
  <c r="C63" i="12"/>
  <c r="B63" i="12"/>
  <c r="D62" i="12"/>
  <c r="C62" i="12"/>
  <c r="B62" i="12"/>
  <c r="D61" i="12"/>
  <c r="C61" i="12"/>
  <c r="B61" i="12"/>
  <c r="D60" i="12"/>
  <c r="C60" i="12"/>
  <c r="B60" i="12"/>
  <c r="D59" i="12"/>
  <c r="C59" i="12"/>
  <c r="B59" i="12"/>
  <c r="D58" i="12"/>
  <c r="C58" i="12"/>
  <c r="B58" i="12"/>
  <c r="D57" i="12"/>
  <c r="C57" i="12"/>
  <c r="B57" i="12"/>
  <c r="D56" i="12"/>
  <c r="C56" i="12"/>
  <c r="B56" i="12"/>
  <c r="D55" i="12"/>
  <c r="C55" i="12"/>
  <c r="B55" i="12"/>
  <c r="D54" i="12"/>
  <c r="C54" i="12"/>
  <c r="B54" i="12"/>
  <c r="D53" i="12"/>
  <c r="C53" i="12"/>
  <c r="B53" i="12"/>
  <c r="D52" i="12"/>
  <c r="C52" i="12"/>
  <c r="B52" i="12"/>
  <c r="D51" i="12"/>
  <c r="C51" i="12"/>
  <c r="B51" i="12"/>
  <c r="K51" i="12" l="1"/>
  <c r="J51" i="12"/>
  <c r="E58" i="12"/>
  <c r="E51" i="17"/>
  <c r="I58" i="17"/>
  <c r="E64" i="17"/>
  <c r="L112" i="17" l="1"/>
  <c r="K112" i="17"/>
  <c r="M111" i="17"/>
  <c r="L111" i="17"/>
  <c r="K111" i="17"/>
  <c r="O111" i="17" s="1"/>
  <c r="M110" i="17"/>
  <c r="L110" i="17"/>
  <c r="K110" i="17"/>
  <c r="M109" i="17"/>
  <c r="L109" i="17"/>
  <c r="K109" i="17"/>
  <c r="M108" i="17"/>
  <c r="L108" i="17"/>
  <c r="K108" i="17"/>
  <c r="M107" i="17"/>
  <c r="L107" i="17"/>
  <c r="K107" i="17"/>
  <c r="M106" i="17"/>
  <c r="L106" i="17"/>
  <c r="K106" i="17"/>
  <c r="O106" i="17" s="1"/>
  <c r="M105" i="17"/>
  <c r="L105" i="17"/>
  <c r="K105" i="17"/>
  <c r="M104" i="17"/>
  <c r="L104" i="17"/>
  <c r="K104" i="17"/>
  <c r="M103" i="17"/>
  <c r="L103" i="17"/>
  <c r="K103" i="17"/>
  <c r="M102" i="17"/>
  <c r="L102" i="17"/>
  <c r="N102" i="17" s="1"/>
  <c r="K102" i="17"/>
  <c r="M101" i="17"/>
  <c r="L101" i="17"/>
  <c r="K101" i="17"/>
  <c r="M100" i="17"/>
  <c r="L100" i="17"/>
  <c r="K100" i="17"/>
  <c r="M99" i="17"/>
  <c r="L99" i="17"/>
  <c r="K99" i="17"/>
  <c r="H112" i="17"/>
  <c r="G112" i="17"/>
  <c r="F112" i="17"/>
  <c r="H111" i="17"/>
  <c r="G111" i="17"/>
  <c r="F111" i="17"/>
  <c r="H110" i="17"/>
  <c r="G110" i="17"/>
  <c r="F110" i="17"/>
  <c r="H109" i="17"/>
  <c r="G109" i="17"/>
  <c r="F109" i="17"/>
  <c r="H108" i="17"/>
  <c r="G108" i="17"/>
  <c r="F108" i="17"/>
  <c r="H107" i="17"/>
  <c r="G107" i="17"/>
  <c r="F107" i="17"/>
  <c r="J107" i="17" s="1"/>
  <c r="H106" i="17"/>
  <c r="G106" i="17"/>
  <c r="F106" i="17"/>
  <c r="H105" i="17"/>
  <c r="G105" i="17"/>
  <c r="F105" i="17"/>
  <c r="H104" i="17"/>
  <c r="G104" i="17"/>
  <c r="F104" i="17"/>
  <c r="H103" i="17"/>
  <c r="G103" i="17"/>
  <c r="F103" i="17"/>
  <c r="J103" i="17" s="1"/>
  <c r="H102" i="17"/>
  <c r="G102" i="17"/>
  <c r="F102" i="17"/>
  <c r="H101" i="17"/>
  <c r="G101" i="17"/>
  <c r="F101" i="17"/>
  <c r="H100" i="17"/>
  <c r="G100" i="17"/>
  <c r="F100" i="17"/>
  <c r="H99" i="17"/>
  <c r="G99" i="17"/>
  <c r="I99" i="17" s="1"/>
  <c r="D112" i="17"/>
  <c r="C112" i="17"/>
  <c r="B112" i="17"/>
  <c r="D111" i="17"/>
  <c r="C111" i="17"/>
  <c r="B111" i="17"/>
  <c r="D110" i="17"/>
  <c r="C110" i="17"/>
  <c r="B110" i="17"/>
  <c r="D109" i="17"/>
  <c r="C109" i="17"/>
  <c r="B109" i="17"/>
  <c r="D108" i="17"/>
  <c r="C108" i="17"/>
  <c r="B108" i="17"/>
  <c r="D107" i="17"/>
  <c r="C107" i="17"/>
  <c r="B107" i="17"/>
  <c r="D106" i="17"/>
  <c r="C106" i="17"/>
  <c r="B106" i="17"/>
  <c r="D105" i="17"/>
  <c r="C105" i="17"/>
  <c r="B105" i="17"/>
  <c r="D104" i="17"/>
  <c r="C104" i="17"/>
  <c r="B104" i="17"/>
  <c r="D103" i="17"/>
  <c r="C103" i="17"/>
  <c r="B103" i="17"/>
  <c r="D102" i="17"/>
  <c r="C102" i="17"/>
  <c r="B102" i="17"/>
  <c r="D101" i="17"/>
  <c r="C101" i="17"/>
  <c r="B101" i="17"/>
  <c r="D100" i="17"/>
  <c r="C100" i="17"/>
  <c r="B100" i="17"/>
  <c r="D99" i="17"/>
  <c r="C99" i="17"/>
  <c r="E80" i="17"/>
  <c r="E68" i="17"/>
  <c r="I68" i="17"/>
  <c r="J68" i="17"/>
  <c r="N68" i="17"/>
  <c r="O68" i="17"/>
  <c r="E69" i="17"/>
  <c r="J69" i="17"/>
  <c r="I69" i="17"/>
  <c r="N69" i="17"/>
  <c r="E70" i="17"/>
  <c r="J70" i="17"/>
  <c r="N70" i="17"/>
  <c r="O70" i="17"/>
  <c r="I71" i="17"/>
  <c r="J71" i="17"/>
  <c r="N71" i="17"/>
  <c r="E72" i="17"/>
  <c r="J72" i="17"/>
  <c r="N72" i="17"/>
  <c r="O72" i="17"/>
  <c r="I73" i="17"/>
  <c r="J73" i="17"/>
  <c r="N73" i="17"/>
  <c r="E74" i="17"/>
  <c r="J74" i="17"/>
  <c r="N74" i="17"/>
  <c r="O74" i="17"/>
  <c r="I75" i="17"/>
  <c r="J75" i="17"/>
  <c r="N75" i="17"/>
  <c r="E76" i="17"/>
  <c r="J76" i="17"/>
  <c r="N76" i="17"/>
  <c r="O76" i="17"/>
  <c r="E77" i="17"/>
  <c r="I77" i="17"/>
  <c r="J77" i="17"/>
  <c r="O77" i="17"/>
  <c r="N77" i="17"/>
  <c r="E78" i="17"/>
  <c r="I78" i="17"/>
  <c r="J78" i="17"/>
  <c r="N78" i="17"/>
  <c r="O78" i="17"/>
  <c r="E79" i="17"/>
  <c r="I79" i="17"/>
  <c r="J79" i="17"/>
  <c r="O79" i="17"/>
  <c r="N79" i="17"/>
  <c r="I80" i="17"/>
  <c r="J80" i="17"/>
  <c r="N80" i="17"/>
  <c r="O80" i="17"/>
  <c r="E52" i="17"/>
  <c r="I52" i="17"/>
  <c r="J52" i="17"/>
  <c r="N52" i="17"/>
  <c r="O52" i="17"/>
  <c r="E53" i="17"/>
  <c r="I53" i="17"/>
  <c r="J53" i="17"/>
  <c r="O53" i="17"/>
  <c r="N53" i="17"/>
  <c r="E54" i="17"/>
  <c r="J54" i="17"/>
  <c r="N54" i="17"/>
  <c r="I55" i="17"/>
  <c r="J55" i="17"/>
  <c r="N55" i="17"/>
  <c r="O55" i="17"/>
  <c r="E56" i="17"/>
  <c r="J56" i="17"/>
  <c r="N56" i="17"/>
  <c r="I57" i="17"/>
  <c r="J57" i="17"/>
  <c r="N57" i="17"/>
  <c r="O57" i="17"/>
  <c r="E58" i="17"/>
  <c r="J58" i="17"/>
  <c r="N58" i="17"/>
  <c r="I59" i="17"/>
  <c r="J59" i="17"/>
  <c r="N59" i="17"/>
  <c r="O59" i="17"/>
  <c r="E60" i="17"/>
  <c r="J60" i="17"/>
  <c r="N60" i="17"/>
  <c r="I61" i="17"/>
  <c r="J61" i="17"/>
  <c r="N61" i="17"/>
  <c r="O61" i="17"/>
  <c r="E62" i="17"/>
  <c r="I62" i="17"/>
  <c r="J62" i="17"/>
  <c r="O62" i="17"/>
  <c r="N62" i="17"/>
  <c r="E63" i="17"/>
  <c r="I63" i="17"/>
  <c r="J63" i="17"/>
  <c r="N63" i="17"/>
  <c r="O63" i="17"/>
  <c r="I64" i="17"/>
  <c r="J64" i="17"/>
  <c r="N64" i="17"/>
  <c r="O48" i="17"/>
  <c r="N48" i="17"/>
  <c r="J48" i="17"/>
  <c r="I48" i="17"/>
  <c r="O47" i="17"/>
  <c r="N47" i="17"/>
  <c r="J47" i="17"/>
  <c r="I47" i="17"/>
  <c r="O46" i="17"/>
  <c r="N46" i="17"/>
  <c r="J46" i="17"/>
  <c r="I46" i="17"/>
  <c r="O45" i="17"/>
  <c r="N45" i="17"/>
  <c r="J45" i="17"/>
  <c r="I45" i="17"/>
  <c r="O44" i="17"/>
  <c r="N44" i="17"/>
  <c r="J44" i="17"/>
  <c r="I44" i="17"/>
  <c r="O43" i="17"/>
  <c r="N43" i="17"/>
  <c r="J43" i="17"/>
  <c r="I43" i="17"/>
  <c r="O42" i="17"/>
  <c r="N42" i="17"/>
  <c r="O41" i="17"/>
  <c r="N41" i="17"/>
  <c r="J41" i="17"/>
  <c r="I41" i="17"/>
  <c r="O40" i="17"/>
  <c r="N40" i="17"/>
  <c r="J40" i="17"/>
  <c r="I40" i="17"/>
  <c r="O39" i="17"/>
  <c r="N39" i="17"/>
  <c r="J39" i="17"/>
  <c r="I39" i="17"/>
  <c r="O38" i="17"/>
  <c r="N38" i="17"/>
  <c r="J38" i="17"/>
  <c r="I38" i="17"/>
  <c r="O37" i="17"/>
  <c r="N37" i="17"/>
  <c r="J37" i="17"/>
  <c r="I37" i="17"/>
  <c r="O36" i="17"/>
  <c r="N36" i="17"/>
  <c r="J36" i="17"/>
  <c r="I36" i="17"/>
  <c r="O35" i="17"/>
  <c r="N35" i="17"/>
  <c r="J35" i="17"/>
  <c r="I35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J111" i="17" l="1"/>
  <c r="N105" i="17"/>
  <c r="O112" i="17"/>
  <c r="N110" i="17"/>
  <c r="O100" i="17"/>
  <c r="E105" i="17"/>
  <c r="N101" i="17"/>
  <c r="J102" i="17"/>
  <c r="J110" i="17"/>
  <c r="E101" i="17"/>
  <c r="E109" i="17"/>
  <c r="O99" i="17"/>
  <c r="O107" i="17"/>
  <c r="O110" i="17"/>
  <c r="I103" i="17"/>
  <c r="I107" i="17"/>
  <c r="J101" i="17"/>
  <c r="J105" i="17"/>
  <c r="J109" i="17"/>
  <c r="O104" i="17"/>
  <c r="N109" i="17"/>
  <c r="E112" i="17"/>
  <c r="I111" i="17"/>
  <c r="E99" i="17"/>
  <c r="J100" i="17"/>
  <c r="I101" i="17"/>
  <c r="J104" i="17"/>
  <c r="I105" i="17"/>
  <c r="J108" i="17"/>
  <c r="I109" i="17"/>
  <c r="J112" i="17"/>
  <c r="O102" i="17"/>
  <c r="O103" i="17"/>
  <c r="N106" i="17"/>
  <c r="O108" i="17"/>
  <c r="J99" i="17"/>
  <c r="J106" i="17"/>
  <c r="O109" i="17"/>
  <c r="N99" i="17"/>
  <c r="N103" i="17"/>
  <c r="N107" i="17"/>
  <c r="N111" i="17"/>
  <c r="N100" i="17"/>
  <c r="N104" i="17"/>
  <c r="N108" i="17"/>
  <c r="N112" i="17"/>
  <c r="O101" i="17"/>
  <c r="O105" i="17"/>
  <c r="I102" i="17"/>
  <c r="I106" i="17"/>
  <c r="I110" i="17"/>
  <c r="I100" i="17"/>
  <c r="I104" i="17"/>
  <c r="I108" i="17"/>
  <c r="I112" i="17"/>
  <c r="E102" i="17"/>
  <c r="E106" i="17"/>
  <c r="E110" i="17"/>
  <c r="E103" i="17"/>
  <c r="E107" i="17"/>
  <c r="E111" i="17"/>
  <c r="E100" i="17"/>
  <c r="E104" i="17"/>
  <c r="E108" i="17"/>
  <c r="I76" i="17"/>
  <c r="O75" i="17"/>
  <c r="E75" i="17"/>
  <c r="I74" i="17"/>
  <c r="O73" i="17"/>
  <c r="E73" i="17"/>
  <c r="I72" i="17"/>
  <c r="O71" i="17"/>
  <c r="E71" i="17"/>
  <c r="I70" i="17"/>
  <c r="O69" i="17"/>
  <c r="E61" i="17"/>
  <c r="I60" i="17"/>
  <c r="E59" i="17"/>
  <c r="E57" i="17"/>
  <c r="I56" i="17"/>
  <c r="E55" i="17"/>
  <c r="I54" i="17"/>
  <c r="O64" i="17"/>
  <c r="O60" i="17"/>
  <c r="O58" i="17"/>
  <c r="O56" i="17"/>
  <c r="O54" i="17"/>
  <c r="N67" i="17"/>
  <c r="I67" i="17"/>
  <c r="J51" i="17"/>
  <c r="P80" i="12"/>
  <c r="P79" i="12"/>
  <c r="P78" i="12"/>
  <c r="O77" i="12"/>
  <c r="P76" i="12"/>
  <c r="P75" i="12"/>
  <c r="P74" i="12"/>
  <c r="O73" i="12"/>
  <c r="P72" i="12"/>
  <c r="P71" i="12"/>
  <c r="P70" i="12"/>
  <c r="O69" i="12"/>
  <c r="P68" i="12"/>
  <c r="P67" i="12"/>
  <c r="K80" i="12"/>
  <c r="K79" i="12"/>
  <c r="K78" i="12"/>
  <c r="J77" i="12"/>
  <c r="K76" i="12"/>
  <c r="K75" i="12"/>
  <c r="K74" i="12"/>
  <c r="J73" i="12"/>
  <c r="K72" i="12"/>
  <c r="K71" i="12"/>
  <c r="K70" i="12"/>
  <c r="J69" i="12"/>
  <c r="K68" i="12"/>
  <c r="K67" i="12"/>
  <c r="F80" i="12"/>
  <c r="F79" i="12"/>
  <c r="F78" i="12"/>
  <c r="E77" i="12"/>
  <c r="E76" i="12"/>
  <c r="F76" i="12"/>
  <c r="F75" i="12"/>
  <c r="F74" i="12"/>
  <c r="E73" i="12"/>
  <c r="E72" i="12"/>
  <c r="F72" i="12"/>
  <c r="F71" i="12"/>
  <c r="F70" i="12"/>
  <c r="E69" i="12"/>
  <c r="E68" i="12"/>
  <c r="F68" i="12"/>
  <c r="F67" i="12"/>
  <c r="O64" i="12"/>
  <c r="P64" i="12"/>
  <c r="P63" i="12"/>
  <c r="P62" i="12"/>
  <c r="O61" i="12"/>
  <c r="P61" i="12"/>
  <c r="P60" i="12"/>
  <c r="P59" i="12"/>
  <c r="P58" i="12"/>
  <c r="O57" i="12"/>
  <c r="P56" i="12"/>
  <c r="P55" i="12"/>
  <c r="P54" i="12"/>
  <c r="O53" i="12"/>
  <c r="P52" i="12"/>
  <c r="P51" i="12"/>
  <c r="K64" i="12"/>
  <c r="J63" i="12"/>
  <c r="K63" i="12"/>
  <c r="K62" i="12"/>
  <c r="J61" i="12"/>
  <c r="K61" i="12"/>
  <c r="K60" i="12"/>
  <c r="J59" i="12"/>
  <c r="K59" i="12"/>
  <c r="K58" i="12"/>
  <c r="J57" i="12"/>
  <c r="K57" i="12"/>
  <c r="K56" i="12"/>
  <c r="J55" i="12"/>
  <c r="K55" i="12"/>
  <c r="K54" i="12"/>
  <c r="J53" i="12"/>
  <c r="K53" i="12"/>
  <c r="K52" i="12"/>
  <c r="F64" i="12"/>
  <c r="F63" i="12"/>
  <c r="E62" i="12"/>
  <c r="F62" i="12"/>
  <c r="F61" i="12"/>
  <c r="E61" i="12"/>
  <c r="F60" i="12"/>
  <c r="F59" i="12"/>
  <c r="F58" i="12"/>
  <c r="E57" i="12"/>
  <c r="F56" i="12"/>
  <c r="F55" i="12"/>
  <c r="E54" i="12"/>
  <c r="F54" i="12"/>
  <c r="E53" i="12"/>
  <c r="F52" i="12"/>
  <c r="F51" i="12"/>
  <c r="O67" i="17" l="1"/>
  <c r="N51" i="17"/>
  <c r="O51" i="17"/>
  <c r="I51" i="17"/>
  <c r="J67" i="17"/>
  <c r="E67" i="17"/>
  <c r="P69" i="12"/>
  <c r="O70" i="12"/>
  <c r="P73" i="12"/>
  <c r="O74" i="12"/>
  <c r="P77" i="12"/>
  <c r="O78" i="12"/>
  <c r="O67" i="12"/>
  <c r="O71" i="12"/>
  <c r="O75" i="12"/>
  <c r="O79" i="12"/>
  <c r="O68" i="12"/>
  <c r="O72" i="12"/>
  <c r="O76" i="12"/>
  <c r="O80" i="12"/>
  <c r="K69" i="12"/>
  <c r="J70" i="12"/>
  <c r="K73" i="12"/>
  <c r="J74" i="12"/>
  <c r="K77" i="12"/>
  <c r="J78" i="12"/>
  <c r="J67" i="12"/>
  <c r="J71" i="12"/>
  <c r="J75" i="12"/>
  <c r="J79" i="12"/>
  <c r="J68" i="12"/>
  <c r="J72" i="12"/>
  <c r="J76" i="12"/>
  <c r="J80" i="12"/>
  <c r="F69" i="12"/>
  <c r="E70" i="12"/>
  <c r="F73" i="12"/>
  <c r="E74" i="12"/>
  <c r="F77" i="12"/>
  <c r="E78" i="12"/>
  <c r="E71" i="12"/>
  <c r="E75" i="12"/>
  <c r="E79" i="12"/>
  <c r="E80" i="12"/>
  <c r="P53" i="12"/>
  <c r="O54" i="12"/>
  <c r="P57" i="12"/>
  <c r="O58" i="12"/>
  <c r="O62" i="12"/>
  <c r="O51" i="12"/>
  <c r="O55" i="12"/>
  <c r="O59" i="12"/>
  <c r="O63" i="12"/>
  <c r="O52" i="12"/>
  <c r="O56" i="12"/>
  <c r="O60" i="12"/>
  <c r="J54" i="12"/>
  <c r="J58" i="12"/>
  <c r="J62" i="12"/>
  <c r="J52" i="12"/>
  <c r="J56" i="12"/>
  <c r="J60" i="12"/>
  <c r="J64" i="12"/>
  <c r="F53" i="12"/>
  <c r="E51" i="12"/>
  <c r="E55" i="12"/>
  <c r="E59" i="12"/>
  <c r="E63" i="12"/>
  <c r="F57" i="12"/>
  <c r="E52" i="12"/>
  <c r="E56" i="12"/>
  <c r="E60" i="12"/>
  <c r="E64" i="12"/>
</calcChain>
</file>

<file path=xl/sharedStrings.xml><?xml version="1.0" encoding="utf-8"?>
<sst xmlns="http://schemas.openxmlformats.org/spreadsheetml/2006/main" count="406" uniqueCount="36">
  <si>
    <t>Estrone</t>
  </si>
  <si>
    <t>Triclosan</t>
  </si>
  <si>
    <t xml:space="preserve"> Acetaminophen</t>
  </si>
  <si>
    <t>Caffeine</t>
  </si>
  <si>
    <t>Carbamazepine</t>
  </si>
  <si>
    <t xml:space="preserve"> Sulfadiazine</t>
  </si>
  <si>
    <t>Sulfamethoxazole</t>
  </si>
  <si>
    <t xml:space="preserve"> Lamotrigine</t>
  </si>
  <si>
    <t xml:space="preserve"> Carbadox</t>
  </si>
  <si>
    <t>Trimethoprim</t>
  </si>
  <si>
    <t>Lincomycin</t>
  </si>
  <si>
    <t>Oxytetracycline</t>
  </si>
  <si>
    <t>Tylosin</t>
  </si>
  <si>
    <t>Compounds</t>
  </si>
  <si>
    <t xml:space="preserve"> Monensin </t>
  </si>
  <si>
    <t>ave</t>
  </si>
  <si>
    <t>std</t>
  </si>
  <si>
    <t>nd</t>
  </si>
  <si>
    <t>Root concentration (ng/g)</t>
  </si>
  <si>
    <t>Leaf concentration (ng/g)</t>
  </si>
  <si>
    <t>Soil concentration (ng/g)</t>
  </si>
  <si>
    <t>S2-30d-1</t>
  </si>
  <si>
    <t>S2-30d-2</t>
  </si>
  <si>
    <t>S2-30d-3</t>
  </si>
  <si>
    <t>S3-30d-1</t>
  </si>
  <si>
    <t>S3-30d-2</t>
  </si>
  <si>
    <t>S3-30d-3</t>
  </si>
  <si>
    <t>RCF</t>
  </si>
  <si>
    <t>LCF</t>
  </si>
  <si>
    <t>PW concentration (ng/mL)</t>
  </si>
  <si>
    <t>Kd(L/kg)</t>
  </si>
  <si>
    <t>TF</t>
  </si>
  <si>
    <t>S1-30d-1</t>
    <phoneticPr fontId="9" type="noConversion"/>
  </si>
  <si>
    <t>S1-30d-2</t>
  </si>
  <si>
    <t>S1-30d-3</t>
  </si>
  <si>
    <t>Note: S1=Riddles; S2=Capac; S3=Spinks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</si>
</sst>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9C0006"/>
      <name val="Times New Roman"/>
      <family val="1"/>
    </font>
    <font>
      <sz val="11"/>
      <color rgb="FFFF0000"/>
      <name val="Times New Roman"/>
      <family val="1"/>
    </font>
    <font>
      <sz val="11"/>
      <color rgb="FF9C6500"/>
      <name val="宋体"/>
      <family val="2"/>
      <scheme val="minor"/>
    </font>
    <font>
      <b/>
      <sz val="11"/>
      <color rgb="FF9C6500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b/>
      <sz val="11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</cellStyleXfs>
  <cellXfs count="16">
    <xf numFmtId="0" fontId="0" fillId="0" borderId="0" xfId="0"/>
    <xf numFmtId="2" fontId="2" fillId="0" borderId="0" xfId="0" applyNumberFormat="1" applyFont="1" applyAlignment="1">
      <alignment horizontal="left"/>
    </xf>
    <xf numFmtId="2" fontId="2" fillId="0" borderId="0" xfId="0" applyNumberFormat="1" applyFont="1"/>
    <xf numFmtId="2" fontId="4" fillId="2" borderId="0" xfId="1" applyNumberFormat="1" applyFont="1"/>
    <xf numFmtId="2" fontId="7" fillId="3" borderId="0" xfId="2" applyNumberFormat="1" applyFont="1"/>
    <xf numFmtId="2" fontId="2" fillId="0" borderId="0" xfId="0" applyNumberFormat="1" applyFont="1" applyFill="1"/>
    <xf numFmtId="2" fontId="3" fillId="0" borderId="0" xfId="0" applyNumberFormat="1" applyFont="1" applyFill="1"/>
    <xf numFmtId="2" fontId="3" fillId="0" borderId="0" xfId="0" applyNumberFormat="1" applyFont="1" applyFill="1" applyAlignment="1">
      <alignment horizontal="left"/>
    </xf>
    <xf numFmtId="2" fontId="2" fillId="0" borderId="0" xfId="0" applyNumberFormat="1" applyFont="1" applyFill="1" applyAlignment="1">
      <alignment horizontal="left"/>
    </xf>
    <xf numFmtId="2" fontId="5" fillId="0" borderId="0" xfId="0" applyNumberFormat="1" applyFont="1" applyFill="1" applyAlignment="1">
      <alignment horizontal="left"/>
    </xf>
    <xf numFmtId="2" fontId="5" fillId="0" borderId="0" xfId="0" applyNumberFormat="1" applyFont="1" applyFill="1"/>
    <xf numFmtId="2" fontId="8" fillId="0" borderId="0" xfId="0" applyNumberFormat="1" applyFont="1" applyFill="1"/>
    <xf numFmtId="2" fontId="10" fillId="0" borderId="0" xfId="0" applyNumberFormat="1" applyFont="1" applyFill="1"/>
    <xf numFmtId="2" fontId="10" fillId="0" borderId="0" xfId="0" applyNumberFormat="1" applyFont="1" applyFill="1" applyAlignment="1">
      <alignment horizontal="left"/>
    </xf>
    <xf numFmtId="2" fontId="8" fillId="0" borderId="0" xfId="0" applyNumberFormat="1" applyFont="1" applyFill="1" applyAlignment="1">
      <alignment horizontal="left"/>
    </xf>
    <xf numFmtId="2" fontId="11" fillId="0" borderId="0" xfId="0" applyNumberFormat="1" applyFont="1" applyFill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Medium9"/>
  <colors>
    <mruColors>
      <color rgb="FF00FF00"/>
      <color rgb="FFFF33CC"/>
      <color rgb="FF00FFFF"/>
      <color rgb="FFFF9900"/>
      <color rgb="FF0000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workbookViewId="0">
      <selection activeCell="D1" sqref="D1"/>
    </sheetView>
  </sheetViews>
  <sheetFormatPr defaultColWidth="8.765625" defaultRowHeight="14.15" x14ac:dyDescent="0.35"/>
  <cols>
    <col min="1" max="1" width="17.3828125" style="2" bestFit="1" customWidth="1"/>
    <col min="2" max="2" width="9.3828125" style="2" bestFit="1" customWidth="1"/>
    <col min="3" max="16384" width="8.765625" style="2"/>
  </cols>
  <sheetData>
    <row r="1" spans="1:17" x14ac:dyDescent="0.35">
      <c r="A1" s="3" t="s">
        <v>18</v>
      </c>
      <c r="B1" s="5"/>
      <c r="C1" s="5"/>
      <c r="D1" s="15" t="s">
        <v>35</v>
      </c>
      <c r="E1" s="15"/>
      <c r="F1" s="15"/>
      <c r="G1" s="1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5">
      <c r="A2" s="2" t="s">
        <v>13</v>
      </c>
      <c r="B2" s="12" t="s">
        <v>32</v>
      </c>
      <c r="C2" s="12" t="s">
        <v>33</v>
      </c>
      <c r="D2" s="12" t="s">
        <v>34</v>
      </c>
      <c r="E2" s="6" t="s">
        <v>15</v>
      </c>
      <c r="F2" s="6" t="s">
        <v>16</v>
      </c>
      <c r="G2" s="7" t="s">
        <v>21</v>
      </c>
      <c r="H2" s="7" t="s">
        <v>22</v>
      </c>
      <c r="I2" s="7" t="s">
        <v>23</v>
      </c>
      <c r="J2" s="7" t="s">
        <v>15</v>
      </c>
      <c r="K2" s="7" t="s">
        <v>16</v>
      </c>
      <c r="L2" s="7" t="s">
        <v>24</v>
      </c>
      <c r="M2" s="7" t="s">
        <v>25</v>
      </c>
      <c r="N2" s="7" t="s">
        <v>26</v>
      </c>
      <c r="O2" s="7" t="s">
        <v>15</v>
      </c>
      <c r="P2" s="7" t="s">
        <v>16</v>
      </c>
      <c r="Q2" s="5"/>
    </row>
    <row r="3" spans="1:17" x14ac:dyDescent="0.35">
      <c r="A3" s="2" t="s">
        <v>2</v>
      </c>
      <c r="B3" s="5">
        <v>48.19444444444445</v>
      </c>
      <c r="C3" s="5">
        <v>51</v>
      </c>
      <c r="D3" s="5">
        <v>66.666666666666671</v>
      </c>
      <c r="E3" s="5">
        <v>55.287037037037003</v>
      </c>
      <c r="F3" s="5">
        <v>9.9543841283368408</v>
      </c>
      <c r="G3" s="5">
        <v>40.227272727272727</v>
      </c>
      <c r="H3" s="5">
        <v>37.297297297297298</v>
      </c>
      <c r="I3" s="5">
        <v>45.38461538461538</v>
      </c>
      <c r="J3" s="5">
        <v>40.969728469728466</v>
      </c>
      <c r="K3" s="5">
        <v>4.094460753077831</v>
      </c>
      <c r="L3" s="5">
        <v>23.499999999999996</v>
      </c>
      <c r="M3" s="5">
        <v>26</v>
      </c>
      <c r="N3" s="5">
        <v>17.608695652173914</v>
      </c>
      <c r="O3" s="5">
        <v>22.369565217391301</v>
      </c>
      <c r="P3" s="5">
        <v>4.308353428255403</v>
      </c>
      <c r="Q3" s="5"/>
    </row>
    <row r="4" spans="1:17" x14ac:dyDescent="0.35">
      <c r="A4" s="2" t="s">
        <v>3</v>
      </c>
      <c r="B4" s="5">
        <v>22.611111111111107</v>
      </c>
      <c r="C4" s="5">
        <v>14.114285714285714</v>
      </c>
      <c r="D4" s="5">
        <v>18.059523809523807</v>
      </c>
      <c r="E4" s="5">
        <v>18.261640211640209</v>
      </c>
      <c r="F4" s="5">
        <v>4.2520170197257743</v>
      </c>
      <c r="G4" s="5">
        <v>17.102272727272727</v>
      </c>
      <c r="H4" s="5">
        <v>23.743243243243246</v>
      </c>
      <c r="I4" s="5">
        <v>20.435897435897438</v>
      </c>
      <c r="J4" s="5">
        <v>20.427137802137803</v>
      </c>
      <c r="K4" s="5">
        <v>3.3204939236332138</v>
      </c>
      <c r="L4" s="5">
        <v>44</v>
      </c>
      <c r="M4" s="5">
        <v>35.96</v>
      </c>
      <c r="N4" s="5">
        <v>26.989130434782609</v>
      </c>
      <c r="O4" s="5">
        <v>35.649710144927539</v>
      </c>
      <c r="P4" s="5">
        <v>8.5096786476829198</v>
      </c>
      <c r="Q4" s="5"/>
    </row>
    <row r="5" spans="1:17" x14ac:dyDescent="0.35">
      <c r="A5" s="2" t="s">
        <v>4</v>
      </c>
      <c r="B5" s="5">
        <v>2079.5833333333335</v>
      </c>
      <c r="C5" s="5">
        <v>1333.7142857142858</v>
      </c>
      <c r="D5" s="5">
        <v>2145.2380952380954</v>
      </c>
      <c r="E5" s="5">
        <v>1852.8452380952383</v>
      </c>
      <c r="F5" s="5">
        <v>450.77749082020341</v>
      </c>
      <c r="G5" s="5">
        <v>768.75</v>
      </c>
      <c r="H5" s="5">
        <v>968.64864864864876</v>
      </c>
      <c r="I5" s="5">
        <v>843.71794871794873</v>
      </c>
      <c r="J5" s="5">
        <v>860.37219912219916</v>
      </c>
      <c r="K5" s="5">
        <v>100.98460514001422</v>
      </c>
      <c r="L5" s="5">
        <v>501.49999999999994</v>
      </c>
      <c r="M5" s="5">
        <v>420.4</v>
      </c>
      <c r="N5" s="5">
        <v>351.19565217391306</v>
      </c>
      <c r="O5" s="5">
        <v>424.36521739130427</v>
      </c>
      <c r="P5" s="5">
        <v>75.230588563273784</v>
      </c>
      <c r="Q5" s="5"/>
    </row>
    <row r="6" spans="1:17" x14ac:dyDescent="0.35">
      <c r="A6" s="2" t="s">
        <v>5</v>
      </c>
      <c r="B6" s="5">
        <v>19.347222222222221</v>
      </c>
      <c r="C6" s="5">
        <v>9.257142857142858</v>
      </c>
      <c r="D6" s="5">
        <v>16.023809523809526</v>
      </c>
      <c r="E6" s="5">
        <v>14.876058201058202</v>
      </c>
      <c r="F6" s="5">
        <v>5.1420254008083361</v>
      </c>
      <c r="G6" s="5">
        <v>17.5</v>
      </c>
      <c r="H6" s="5">
        <v>21.756756756756758</v>
      </c>
      <c r="I6" s="5">
        <v>18.564102564102566</v>
      </c>
      <c r="J6" s="5">
        <v>19.273619773619775</v>
      </c>
      <c r="K6" s="5">
        <v>2.2153003237708861</v>
      </c>
      <c r="L6" s="5">
        <v>30.149999999999995</v>
      </c>
      <c r="M6" s="5">
        <v>22.72</v>
      </c>
      <c r="N6" s="5">
        <v>19.641304347826086</v>
      </c>
      <c r="O6" s="5">
        <v>24.170434782608691</v>
      </c>
      <c r="P6" s="5">
        <v>5.4024061187082131</v>
      </c>
      <c r="Q6" s="5"/>
    </row>
    <row r="7" spans="1:17" x14ac:dyDescent="0.35">
      <c r="A7" s="2" t="s">
        <v>6</v>
      </c>
      <c r="B7" s="5">
        <v>40.722222222222221</v>
      </c>
      <c r="C7" s="5">
        <v>22.771428571428576</v>
      </c>
      <c r="D7" s="5">
        <v>33.976190476190474</v>
      </c>
      <c r="E7" s="5">
        <v>32.489947089947094</v>
      </c>
      <c r="F7" s="5">
        <v>9.0672177499885294</v>
      </c>
      <c r="G7" s="5">
        <v>34.295454545454547</v>
      </c>
      <c r="H7" s="5">
        <v>44.418918918918919</v>
      </c>
      <c r="I7" s="5">
        <v>39.564102564102562</v>
      </c>
      <c r="J7" s="5">
        <v>39.426158676158678</v>
      </c>
      <c r="K7" s="5">
        <v>5.0631417240055461</v>
      </c>
      <c r="L7" s="5">
        <v>75.7</v>
      </c>
      <c r="M7" s="5">
        <v>68.56</v>
      </c>
      <c r="N7" s="5">
        <v>45.54347826086957</v>
      </c>
      <c r="O7" s="5">
        <v>63.267826086956518</v>
      </c>
      <c r="P7" s="5">
        <v>15.759418751815927</v>
      </c>
      <c r="Q7" s="5"/>
    </row>
    <row r="8" spans="1:17" x14ac:dyDescent="0.35">
      <c r="A8" s="2" t="s">
        <v>7</v>
      </c>
      <c r="B8" s="5">
        <v>1022.7777777777778</v>
      </c>
      <c r="C8" s="5">
        <v>584.10714285714289</v>
      </c>
      <c r="D8" s="5">
        <v>805.00000000000011</v>
      </c>
      <c r="E8" s="5">
        <v>803.96164021164032</v>
      </c>
      <c r="F8" s="5">
        <v>219.33716084764495</v>
      </c>
      <c r="G8" s="5">
        <v>286.13636363636363</v>
      </c>
      <c r="H8" s="5">
        <v>409.86486486486478</v>
      </c>
      <c r="I8" s="5">
        <v>385.25641025641022</v>
      </c>
      <c r="J8" s="5">
        <v>360.4192129192129</v>
      </c>
      <c r="K8" s="5">
        <v>65.49694865211606</v>
      </c>
      <c r="L8" s="5">
        <v>82.674999999999997</v>
      </c>
      <c r="M8" s="5">
        <v>95.54</v>
      </c>
      <c r="N8" s="5">
        <v>50.717391304347828</v>
      </c>
      <c r="O8" s="5">
        <v>76.310797101449282</v>
      </c>
      <c r="P8" s="5">
        <v>23.079078652999332</v>
      </c>
      <c r="Q8" s="5"/>
    </row>
    <row r="9" spans="1:17" ht="13.5" customHeight="1" x14ac:dyDescent="0.35">
      <c r="A9" s="2" t="s">
        <v>8</v>
      </c>
      <c r="B9" s="5">
        <v>53.996805555555561</v>
      </c>
      <c r="C9" s="5">
        <v>32.180714285714288</v>
      </c>
      <c r="D9" s="5">
        <v>43.571428571428577</v>
      </c>
      <c r="E9" s="5">
        <v>43.249649470899477</v>
      </c>
      <c r="F9" s="5">
        <v>10.91160464439872</v>
      </c>
      <c r="G9" s="5">
        <v>12.329545454545453</v>
      </c>
      <c r="H9" s="5">
        <v>23.418918918918923</v>
      </c>
      <c r="I9" s="5">
        <v>21.53846153846154</v>
      </c>
      <c r="J9" s="5">
        <v>19.095641970641971</v>
      </c>
      <c r="K9" s="5">
        <v>5.9345662468944846</v>
      </c>
      <c r="L9" s="5">
        <v>13.8415</v>
      </c>
      <c r="M9" s="5">
        <v>9.3999999999999986</v>
      </c>
      <c r="N9" s="5">
        <v>6.9565217391304346</v>
      </c>
      <c r="O9" s="5">
        <v>10.066007246376811</v>
      </c>
      <c r="P9" s="5">
        <v>3.4904735570308265</v>
      </c>
      <c r="Q9" s="5"/>
    </row>
    <row r="10" spans="1:17" x14ac:dyDescent="0.35">
      <c r="A10" s="2" t="s">
        <v>9</v>
      </c>
      <c r="B10" s="5">
        <v>103.31944444444444</v>
      </c>
      <c r="C10" s="5">
        <v>58.671428571428578</v>
      </c>
      <c r="D10" s="5">
        <v>80.285714285714292</v>
      </c>
      <c r="E10" s="5">
        <v>80.758862433862404</v>
      </c>
      <c r="F10" s="5">
        <v>22.327768187323148</v>
      </c>
      <c r="G10" s="5">
        <v>20.88636363636364</v>
      </c>
      <c r="H10" s="5">
        <v>30.22972972972973</v>
      </c>
      <c r="I10" s="5">
        <v>28.910256410256405</v>
      </c>
      <c r="J10" s="5">
        <v>26.675449925449925</v>
      </c>
      <c r="K10" s="5">
        <v>5.0567175625167593</v>
      </c>
      <c r="L10" s="5">
        <v>18.099999999999998</v>
      </c>
      <c r="M10" s="5">
        <v>17.04</v>
      </c>
      <c r="N10" s="5">
        <v>13.510869565217392</v>
      </c>
      <c r="O10" s="5">
        <v>16.216956521739132</v>
      </c>
      <c r="P10" s="5">
        <v>2.4027234468812164</v>
      </c>
      <c r="Q10" s="5"/>
    </row>
    <row r="11" spans="1:17" x14ac:dyDescent="0.35">
      <c r="A11" s="2" t="s">
        <v>10</v>
      </c>
      <c r="B11" s="5">
        <v>7.9055555555555559</v>
      </c>
      <c r="C11" s="5">
        <v>8.7071428571428591</v>
      </c>
      <c r="D11" s="5">
        <v>8.0535714285714288</v>
      </c>
      <c r="E11" s="5">
        <v>8.2220899470899482</v>
      </c>
      <c r="F11" s="5">
        <v>0.42653771091107628</v>
      </c>
      <c r="G11" s="5">
        <v>8.3954545454545446</v>
      </c>
      <c r="H11" s="5">
        <v>11.797297297297298</v>
      </c>
      <c r="I11" s="5">
        <v>9.5371794871794862</v>
      </c>
      <c r="J11" s="5">
        <v>9.9099771099771097</v>
      </c>
      <c r="K11" s="5">
        <v>1.7312905815428312</v>
      </c>
      <c r="L11" s="5">
        <v>24.712499999999999</v>
      </c>
      <c r="M11" s="5">
        <v>20.6</v>
      </c>
      <c r="N11" s="5">
        <v>16.932608695652174</v>
      </c>
      <c r="O11" s="5">
        <v>20.748369565217391</v>
      </c>
      <c r="P11" s="5">
        <v>3.8920672299921502</v>
      </c>
      <c r="Q11" s="5"/>
    </row>
    <row r="12" spans="1:17" x14ac:dyDescent="0.35">
      <c r="A12" s="2" t="s">
        <v>11</v>
      </c>
      <c r="B12" s="5">
        <v>43.597222222222221</v>
      </c>
      <c r="C12" s="5">
        <v>31.964285714285715</v>
      </c>
      <c r="D12" s="5">
        <v>27.785714285714288</v>
      </c>
      <c r="E12" s="5">
        <v>34.449074074074076</v>
      </c>
      <c r="F12" s="5">
        <v>8.1933860949712383</v>
      </c>
      <c r="G12" s="5">
        <v>20.454545454545453</v>
      </c>
      <c r="H12" s="5">
        <v>36.337837837837839</v>
      </c>
      <c r="I12" s="5">
        <v>23.807692307692307</v>
      </c>
      <c r="J12" s="5">
        <v>26.866691866691866</v>
      </c>
      <c r="K12" s="5">
        <v>8.3718488376079776</v>
      </c>
      <c r="L12" s="5">
        <v>37.4</v>
      </c>
      <c r="M12" s="5">
        <v>38.42</v>
      </c>
      <c r="N12" s="5">
        <v>21.673913043478262</v>
      </c>
      <c r="O12" s="5">
        <v>32.497971014492755</v>
      </c>
      <c r="P12" s="5">
        <v>9.3877725377169057</v>
      </c>
      <c r="Q12" s="5"/>
    </row>
    <row r="13" spans="1:17" x14ac:dyDescent="0.35">
      <c r="A13" s="2" t="s">
        <v>14</v>
      </c>
      <c r="B13" s="5">
        <v>2.9263888888888894</v>
      </c>
      <c r="C13" s="5">
        <v>1.9164285714285714</v>
      </c>
      <c r="D13" s="5">
        <v>3.3595238095238096</v>
      </c>
      <c r="E13" s="5">
        <v>2.7341137566137568</v>
      </c>
      <c r="F13" s="5">
        <v>0.74051216156242394</v>
      </c>
      <c r="G13" s="5">
        <v>3.2556818181818179</v>
      </c>
      <c r="H13" s="5">
        <v>3.9121621621621618</v>
      </c>
      <c r="I13" s="5">
        <v>3.1961538461538459</v>
      </c>
      <c r="J13" s="5">
        <v>3.454665942165942</v>
      </c>
      <c r="K13" s="5">
        <v>0.39731975579696893</v>
      </c>
      <c r="L13" s="5">
        <v>11.397499999999999</v>
      </c>
      <c r="M13" s="5">
        <v>9.6319999999999997</v>
      </c>
      <c r="N13" s="5">
        <v>4.6184782608695647</v>
      </c>
      <c r="O13" s="5">
        <v>8.5493260869565209</v>
      </c>
      <c r="P13" s="5">
        <v>3.5168055158608631</v>
      </c>
      <c r="Q13" s="5"/>
    </row>
    <row r="14" spans="1:17" x14ac:dyDescent="0.35">
      <c r="A14" s="2" t="s">
        <v>12</v>
      </c>
      <c r="B14" s="5">
        <v>6.0763888888888893</v>
      </c>
      <c r="C14" s="5">
        <v>4.1414285714285715</v>
      </c>
      <c r="D14" s="5">
        <v>6.0047619047619047</v>
      </c>
      <c r="E14" s="5">
        <v>5.4075264550264555</v>
      </c>
      <c r="F14" s="5">
        <v>1.097057653157782</v>
      </c>
      <c r="G14" s="5">
        <v>6.057954545454546</v>
      </c>
      <c r="H14" s="5">
        <v>6.2256756756756761</v>
      </c>
      <c r="I14" s="5">
        <v>5.5487179487179485</v>
      </c>
      <c r="J14" s="5">
        <v>5.9441160566160569</v>
      </c>
      <c r="K14" s="5">
        <v>0.35254409962119126</v>
      </c>
      <c r="L14" s="5">
        <v>11.665000000000001</v>
      </c>
      <c r="M14" s="5">
        <v>10.286</v>
      </c>
      <c r="N14" s="5">
        <v>5.4826086956521731</v>
      </c>
      <c r="O14" s="5">
        <v>9.1445362318840591</v>
      </c>
      <c r="P14" s="5">
        <v>3.2454114085058579</v>
      </c>
      <c r="Q14" s="5"/>
    </row>
    <row r="15" spans="1:17" x14ac:dyDescent="0.35">
      <c r="A15" s="2" t="s">
        <v>0</v>
      </c>
      <c r="B15" s="5">
        <v>8.0736111111111128</v>
      </c>
      <c r="C15" s="5">
        <v>3.7357142857142862</v>
      </c>
      <c r="D15" s="5">
        <v>5.0095238095238095</v>
      </c>
      <c r="E15" s="5">
        <v>5.6062830687830685</v>
      </c>
      <c r="F15" s="5">
        <v>2.2296700265018434</v>
      </c>
      <c r="G15" s="5">
        <v>4.4761363636363631</v>
      </c>
      <c r="H15" s="5">
        <v>4.8</v>
      </c>
      <c r="I15" s="5">
        <v>4.824358974358975</v>
      </c>
      <c r="J15" s="5">
        <v>4.7001651126651121</v>
      </c>
      <c r="K15" s="5">
        <v>0.19439650254440055</v>
      </c>
      <c r="L15" s="5">
        <v>8.06</v>
      </c>
      <c r="M15" s="5">
        <v>6.3180000000000005</v>
      </c>
      <c r="N15" s="5">
        <v>3.6739130434782612</v>
      </c>
      <c r="O15" s="5">
        <v>6.0173043478260873</v>
      </c>
      <c r="P15" s="5">
        <v>2.2084503852180508</v>
      </c>
      <c r="Q15" s="5"/>
    </row>
    <row r="16" spans="1:17" x14ac:dyDescent="0.35">
      <c r="A16" s="2" t="s">
        <v>1</v>
      </c>
      <c r="B16" s="5">
        <v>93.055555555555557</v>
      </c>
      <c r="C16" s="5">
        <v>49.057142857142864</v>
      </c>
      <c r="D16" s="5">
        <v>69.678571428571431</v>
      </c>
      <c r="E16" s="5">
        <v>70.597089947089955</v>
      </c>
      <c r="F16" s="5">
        <v>22.013583015870129</v>
      </c>
      <c r="G16" s="5">
        <v>40.44318181818182</v>
      </c>
      <c r="H16" s="5">
        <v>57.135135135135137</v>
      </c>
      <c r="I16" s="5">
        <v>45.692307692307693</v>
      </c>
      <c r="J16" s="5">
        <v>47.756874881874886</v>
      </c>
      <c r="K16" s="5">
        <v>8.5353473651641831</v>
      </c>
      <c r="L16" s="5">
        <v>39.874999999999993</v>
      </c>
      <c r="M16" s="5">
        <v>33.020000000000003</v>
      </c>
      <c r="N16" s="5">
        <v>21.25</v>
      </c>
      <c r="O16" s="5">
        <v>31.381666666666664</v>
      </c>
      <c r="P16" s="5">
        <v>9.4199659411981678</v>
      </c>
      <c r="Q16" s="5"/>
    </row>
    <row r="17" spans="1:17" x14ac:dyDescent="0.35">
      <c r="A17" s="3" t="s">
        <v>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35">
      <c r="A18" s="2" t="s">
        <v>13</v>
      </c>
      <c r="B18" s="12" t="s">
        <v>32</v>
      </c>
      <c r="C18" s="12" t="s">
        <v>33</v>
      </c>
      <c r="D18" s="12" t="s">
        <v>34</v>
      </c>
      <c r="E18" s="6" t="s">
        <v>15</v>
      </c>
      <c r="F18" s="6" t="s">
        <v>16</v>
      </c>
      <c r="G18" s="7" t="s">
        <v>21</v>
      </c>
      <c r="H18" s="7" t="s">
        <v>22</v>
      </c>
      <c r="I18" s="7" t="s">
        <v>23</v>
      </c>
      <c r="J18" s="7" t="s">
        <v>15</v>
      </c>
      <c r="K18" s="7" t="s">
        <v>16</v>
      </c>
      <c r="L18" s="7" t="s">
        <v>24</v>
      </c>
      <c r="M18" s="7" t="s">
        <v>25</v>
      </c>
      <c r="N18" s="7" t="s">
        <v>26</v>
      </c>
      <c r="O18" s="7" t="s">
        <v>15</v>
      </c>
      <c r="P18" s="7" t="s">
        <v>16</v>
      </c>
      <c r="Q18" s="5"/>
    </row>
    <row r="19" spans="1:17" x14ac:dyDescent="0.35">
      <c r="A19" s="2" t="s">
        <v>2</v>
      </c>
      <c r="B19" s="5">
        <v>39.140624999999993</v>
      </c>
      <c r="C19" s="5">
        <v>51.75</v>
      </c>
      <c r="D19" s="5">
        <v>48.666666666666664</v>
      </c>
      <c r="E19" s="5">
        <v>46.519097222222221</v>
      </c>
      <c r="F19" s="5">
        <v>6.5732887782060994</v>
      </c>
      <c r="G19" s="5">
        <v>30.583333333333336</v>
      </c>
      <c r="H19" s="5">
        <v>25.75</v>
      </c>
      <c r="I19" s="5">
        <v>41.500000000000007</v>
      </c>
      <c r="J19" s="5">
        <v>32.611111111111114</v>
      </c>
      <c r="K19" s="5">
        <v>8.0684284118430991</v>
      </c>
      <c r="L19" s="5">
        <v>15.416666666666668</v>
      </c>
      <c r="M19" s="5">
        <v>21.166666666666668</v>
      </c>
      <c r="N19" s="5">
        <v>12.750000000000002</v>
      </c>
      <c r="O19" s="5">
        <v>16.444444444444446</v>
      </c>
      <c r="P19" s="5">
        <v>4.3014317168606588</v>
      </c>
      <c r="Q19" s="5"/>
    </row>
    <row r="20" spans="1:17" x14ac:dyDescent="0.35">
      <c r="A20" s="2" t="s">
        <v>3</v>
      </c>
      <c r="B20" s="5">
        <v>153.3046875</v>
      </c>
      <c r="C20" s="5">
        <v>212.22499999999999</v>
      </c>
      <c r="D20" s="5">
        <v>146.125</v>
      </c>
      <c r="E20" s="5">
        <v>170.55156250000002</v>
      </c>
      <c r="F20" s="5">
        <v>36.268354290610056</v>
      </c>
      <c r="G20" s="5">
        <v>350.58333333333331</v>
      </c>
      <c r="H20" s="5">
        <v>296.125</v>
      </c>
      <c r="I20" s="5">
        <v>320.25</v>
      </c>
      <c r="J20" s="5">
        <v>322.3194444444444</v>
      </c>
      <c r="K20" s="5">
        <v>27.28808288598875</v>
      </c>
      <c r="L20" s="5">
        <v>380</v>
      </c>
      <c r="M20" s="5">
        <v>481.00000000000006</v>
      </c>
      <c r="N20" s="5">
        <v>335.16666666666669</v>
      </c>
      <c r="O20" s="5">
        <v>398.72222222222223</v>
      </c>
      <c r="P20" s="5">
        <v>74.697600239107146</v>
      </c>
      <c r="Q20" s="5"/>
    </row>
    <row r="21" spans="1:17" x14ac:dyDescent="0.35">
      <c r="A21" s="2" t="s">
        <v>4</v>
      </c>
      <c r="B21" s="5">
        <v>17742.1875</v>
      </c>
      <c r="C21" s="5">
        <v>15975</v>
      </c>
      <c r="D21" s="5">
        <v>16866.666666666668</v>
      </c>
      <c r="E21" s="5">
        <v>16861.284722222223</v>
      </c>
      <c r="F21" s="5">
        <v>883.60604289104128</v>
      </c>
      <c r="G21" s="5">
        <v>7922.5</v>
      </c>
      <c r="H21" s="5">
        <v>6472.5</v>
      </c>
      <c r="I21" s="5">
        <v>6616.666666666667</v>
      </c>
      <c r="J21" s="5">
        <v>7003.8888888888896</v>
      </c>
      <c r="K21" s="5">
        <v>798.79959128497114</v>
      </c>
      <c r="L21" s="5">
        <v>3406.666666666667</v>
      </c>
      <c r="M21" s="5">
        <v>4263.3333333333339</v>
      </c>
      <c r="N21" s="5">
        <v>4419.166666666667</v>
      </c>
      <c r="O21" s="5">
        <v>4029.7222222222226</v>
      </c>
      <c r="P21" s="5">
        <v>545.1785725117245</v>
      </c>
      <c r="Q21" s="5"/>
    </row>
    <row r="22" spans="1:17" x14ac:dyDescent="0.35">
      <c r="A22" s="2" t="s">
        <v>5</v>
      </c>
      <c r="B22" s="5">
        <v>14.937499999999998</v>
      </c>
      <c r="C22" s="5">
        <v>12</v>
      </c>
      <c r="D22" s="5">
        <v>10.633333333333333</v>
      </c>
      <c r="E22" s="5">
        <v>12.52361111111111</v>
      </c>
      <c r="F22" s="5">
        <v>2.1993383369482533</v>
      </c>
      <c r="G22" s="5">
        <v>12.441666666666668</v>
      </c>
      <c r="H22" s="5">
        <v>12.45</v>
      </c>
      <c r="I22" s="5">
        <v>14.700000000000001</v>
      </c>
      <c r="J22" s="5">
        <v>13.197222222222223</v>
      </c>
      <c r="K22" s="5">
        <v>1.3014504017242259</v>
      </c>
      <c r="L22" s="5">
        <v>15.485000000000001</v>
      </c>
      <c r="M22" s="5">
        <v>13.547499999999999</v>
      </c>
      <c r="N22" s="5">
        <v>17.119166666666668</v>
      </c>
      <c r="O22" s="5">
        <v>15.38388888888889</v>
      </c>
      <c r="P22" s="5">
        <v>1.7879788273458501</v>
      </c>
      <c r="Q22" s="5"/>
    </row>
    <row r="23" spans="1:17" x14ac:dyDescent="0.35">
      <c r="A23" s="2" t="s">
        <v>6</v>
      </c>
      <c r="B23" s="5">
        <v>34.25</v>
      </c>
      <c r="C23" s="5">
        <v>25.225000000000005</v>
      </c>
      <c r="D23" s="5">
        <v>28.366666666666667</v>
      </c>
      <c r="E23" s="5">
        <v>29.280555555555555</v>
      </c>
      <c r="F23" s="5">
        <v>4.5813808972760599</v>
      </c>
      <c r="G23" s="5">
        <v>26.824999999999999</v>
      </c>
      <c r="H23" s="5">
        <v>32.733333333333334</v>
      </c>
      <c r="I23" s="5">
        <v>41.2</v>
      </c>
      <c r="J23" s="5">
        <v>33.586111111111116</v>
      </c>
      <c r="K23" s="5">
        <v>7.2253428087325648</v>
      </c>
      <c r="L23" s="5">
        <v>39.516666666666673</v>
      </c>
      <c r="M23" s="5">
        <v>38.041666666666671</v>
      </c>
      <c r="N23" s="5">
        <v>41.4</v>
      </c>
      <c r="O23" s="5">
        <v>39.652777777777779</v>
      </c>
      <c r="P23" s="5">
        <v>1.6832989545444266</v>
      </c>
      <c r="Q23" s="5"/>
    </row>
    <row r="24" spans="1:17" x14ac:dyDescent="0.35">
      <c r="A24" s="2" t="s">
        <v>7</v>
      </c>
      <c r="B24" s="5">
        <v>3480.46875</v>
      </c>
      <c r="C24" s="5">
        <v>3208.3333333333335</v>
      </c>
      <c r="D24" s="5">
        <v>3143.3333333333335</v>
      </c>
      <c r="E24" s="5">
        <v>3277.3784722222226</v>
      </c>
      <c r="F24" s="5">
        <v>178.85887088956804</v>
      </c>
      <c r="G24" s="5">
        <v>1796.6666666666667</v>
      </c>
      <c r="H24" s="5">
        <v>1309.1666666666667</v>
      </c>
      <c r="I24" s="5">
        <v>1780.8333333333335</v>
      </c>
      <c r="J24" s="5">
        <v>1628.8888888888901</v>
      </c>
      <c r="K24" s="5">
        <v>277.00071867803496</v>
      </c>
      <c r="L24" s="5">
        <v>246.91666666666669</v>
      </c>
      <c r="M24" s="5">
        <v>292.25</v>
      </c>
      <c r="N24" s="5">
        <v>333.75</v>
      </c>
      <c r="O24" s="5">
        <v>290.97222222222223</v>
      </c>
      <c r="P24" s="5">
        <v>43.430766531129287</v>
      </c>
      <c r="Q24" s="5"/>
    </row>
    <row r="25" spans="1:17" x14ac:dyDescent="0.35">
      <c r="A25" s="2" t="s">
        <v>8</v>
      </c>
      <c r="B25" s="5">
        <v>66.375</v>
      </c>
      <c r="C25" s="5">
        <v>88.166666666666671</v>
      </c>
      <c r="D25" s="5">
        <v>93.916666666666657</v>
      </c>
      <c r="E25" s="5">
        <v>82.819444444444443</v>
      </c>
      <c r="F25" s="5">
        <v>14.528607635104462</v>
      </c>
      <c r="G25" s="5">
        <v>42.883333333333333</v>
      </c>
      <c r="H25" s="5">
        <v>41.008333333333333</v>
      </c>
      <c r="I25" s="5">
        <v>60.583333333333329</v>
      </c>
      <c r="J25" s="5">
        <v>48.158333333333331</v>
      </c>
      <c r="K25" s="5">
        <v>10.801128413272377</v>
      </c>
      <c r="L25" s="5">
        <v>24.583333333333336</v>
      </c>
      <c r="M25" s="5">
        <v>19.116666666666667</v>
      </c>
      <c r="N25" s="5">
        <v>23.933333333333334</v>
      </c>
      <c r="O25" s="5">
        <v>22.544444444444448</v>
      </c>
      <c r="P25" s="5">
        <v>2.9862803569608696</v>
      </c>
      <c r="Q25" s="5"/>
    </row>
    <row r="26" spans="1:17" x14ac:dyDescent="0.35">
      <c r="A26" s="2" t="s">
        <v>9</v>
      </c>
      <c r="B26" s="5">
        <v>348.359375</v>
      </c>
      <c r="C26" s="5">
        <v>290.33333333333337</v>
      </c>
      <c r="D26" s="5">
        <v>308.50000000000006</v>
      </c>
      <c r="E26" s="5">
        <v>315.73090277777783</v>
      </c>
      <c r="F26" s="5">
        <v>29.681136166118847</v>
      </c>
      <c r="G26" s="5">
        <v>92.016666666666666</v>
      </c>
      <c r="H26" s="5">
        <v>89.316666666666677</v>
      </c>
      <c r="I26" s="5">
        <v>102.23333333333335</v>
      </c>
      <c r="J26" s="5">
        <v>94.52222222222224</v>
      </c>
      <c r="K26" s="5">
        <v>6.8131069216566669</v>
      </c>
      <c r="L26" s="5">
        <v>41.141666666666673</v>
      </c>
      <c r="M26" s="5">
        <v>68.141666666666666</v>
      </c>
      <c r="N26" s="5">
        <v>54.366666666666667</v>
      </c>
      <c r="O26" s="5">
        <v>54.550000000000004</v>
      </c>
      <c r="P26" s="5">
        <v>13.500933609692829</v>
      </c>
      <c r="Q26" s="5"/>
    </row>
    <row r="27" spans="1:17" x14ac:dyDescent="0.35">
      <c r="A27" s="2" t="s">
        <v>10</v>
      </c>
      <c r="B27" s="5">
        <v>32.875</v>
      </c>
      <c r="C27" s="5">
        <v>24.824999999999999</v>
      </c>
      <c r="D27" s="5">
        <v>19.908333333333331</v>
      </c>
      <c r="E27" s="5">
        <v>25.869444444444444</v>
      </c>
      <c r="F27" s="5">
        <v>6.5461255150859436</v>
      </c>
      <c r="G27" s="5">
        <v>36.55833333333333</v>
      </c>
      <c r="H27" s="5">
        <v>26.208333333333332</v>
      </c>
      <c r="I27" s="5">
        <v>22.258333333333333</v>
      </c>
      <c r="J27" s="5">
        <v>28.341666666666669</v>
      </c>
      <c r="K27" s="5">
        <v>7.3848380708945225</v>
      </c>
      <c r="L27" s="5">
        <v>39.075000000000003</v>
      </c>
      <c r="M27" s="5">
        <v>50.233333333333327</v>
      </c>
      <c r="N27" s="5">
        <v>48.283333333333331</v>
      </c>
      <c r="O27" s="5">
        <v>45.863888888888887</v>
      </c>
      <c r="P27" s="5">
        <v>5.9596463199805783</v>
      </c>
      <c r="Q27" s="5"/>
    </row>
    <row r="28" spans="1:17" x14ac:dyDescent="0.35">
      <c r="A28" s="2" t="s">
        <v>11</v>
      </c>
      <c r="B28" s="5">
        <v>35.328125</v>
      </c>
      <c r="C28" s="5">
        <v>24.216666666666669</v>
      </c>
      <c r="D28" s="5">
        <v>19.983333333333334</v>
      </c>
      <c r="E28" s="5">
        <v>26.509375000000002</v>
      </c>
      <c r="F28" s="5">
        <v>7.9251524559249074</v>
      </c>
      <c r="G28" s="5">
        <v>20.150000000000002</v>
      </c>
      <c r="H28" s="5">
        <v>21.8</v>
      </c>
      <c r="I28" s="5">
        <v>23.8</v>
      </c>
      <c r="J28" s="5">
        <v>21.916666666666668</v>
      </c>
      <c r="K28" s="5">
        <v>1.8277946638868741</v>
      </c>
      <c r="L28" s="5">
        <v>33.491666666666667</v>
      </c>
      <c r="M28" s="5">
        <v>16.68333333333333</v>
      </c>
      <c r="N28" s="5">
        <v>20.358333333333334</v>
      </c>
      <c r="O28" s="5">
        <v>23.511111111111109</v>
      </c>
      <c r="P28" s="5">
        <v>8.8365730432191949</v>
      </c>
      <c r="Q28" s="5"/>
    </row>
    <row r="29" spans="1:17" x14ac:dyDescent="0.35">
      <c r="A29" s="2" t="s">
        <v>14</v>
      </c>
      <c r="B29" s="5" t="s">
        <v>17</v>
      </c>
      <c r="C29" s="5" t="s">
        <v>17</v>
      </c>
      <c r="D29" s="5" t="s">
        <v>17</v>
      </c>
      <c r="E29" s="5" t="s">
        <v>17</v>
      </c>
      <c r="F29" s="5" t="s">
        <v>17</v>
      </c>
      <c r="G29" s="5">
        <v>2.6033333333333335</v>
      </c>
      <c r="H29" s="5">
        <v>2.0766666666666667</v>
      </c>
      <c r="I29" s="5">
        <v>1.8558333333333337</v>
      </c>
      <c r="J29" s="5">
        <v>2.1786111111111111</v>
      </c>
      <c r="K29" s="5">
        <v>0.38403589000875377</v>
      </c>
      <c r="L29" s="5">
        <v>2.4166666666666665</v>
      </c>
      <c r="M29" s="5">
        <v>3.5000000000000004</v>
      </c>
      <c r="N29" s="5">
        <v>3.1666666666666665</v>
      </c>
      <c r="O29" s="5">
        <v>3.0277777777777781</v>
      </c>
      <c r="P29" s="5">
        <v>0.55486067653994775</v>
      </c>
      <c r="Q29" s="5"/>
    </row>
    <row r="30" spans="1:17" x14ac:dyDescent="0.35">
      <c r="A30" s="2" t="s">
        <v>12</v>
      </c>
      <c r="B30" s="5">
        <v>1.23125</v>
      </c>
      <c r="C30" s="5">
        <v>1.4108333333333334</v>
      </c>
      <c r="D30" s="5">
        <v>2.02</v>
      </c>
      <c r="E30" s="5">
        <v>1.5540277777777778</v>
      </c>
      <c r="F30" s="5">
        <v>0.41341278078309973</v>
      </c>
      <c r="G30" s="5">
        <v>1.9333333333333336</v>
      </c>
      <c r="H30" s="5">
        <v>1.6266333333333336</v>
      </c>
      <c r="I30" s="5">
        <v>1.7925000000000002</v>
      </c>
      <c r="J30" s="5">
        <v>1.7841555555555557</v>
      </c>
      <c r="K30" s="5">
        <v>0.15352017722376043</v>
      </c>
      <c r="L30" s="5">
        <v>1.9675000000000002</v>
      </c>
      <c r="M30" s="5">
        <v>2.8058333333333336</v>
      </c>
      <c r="N30" s="5">
        <v>2.2125000000000004</v>
      </c>
      <c r="O30" s="5">
        <v>2.3286111111111114</v>
      </c>
      <c r="P30" s="5">
        <v>0.43105920363337402</v>
      </c>
      <c r="Q30" s="5"/>
    </row>
    <row r="31" spans="1:17" x14ac:dyDescent="0.35">
      <c r="A31" s="2" t="s">
        <v>0</v>
      </c>
      <c r="B31" s="5">
        <v>3.7726562499999998</v>
      </c>
      <c r="C31" s="5">
        <v>3.2958333333333334</v>
      </c>
      <c r="D31" s="5">
        <v>3.0858333333333339</v>
      </c>
      <c r="E31" s="5">
        <v>3.3847743055555557</v>
      </c>
      <c r="F31" s="5">
        <v>0.3519436064478258</v>
      </c>
      <c r="G31" s="5">
        <v>1.8083333333333333</v>
      </c>
      <c r="H31" s="5">
        <v>2.2716666666666669</v>
      </c>
      <c r="I31" s="5">
        <v>2.4225000000000003</v>
      </c>
      <c r="J31" s="5">
        <v>2.1675</v>
      </c>
      <c r="K31" s="5">
        <v>0.32005967325554274</v>
      </c>
      <c r="L31" s="5">
        <v>2.5233333333333334</v>
      </c>
      <c r="M31" s="5">
        <v>3.5583333333333331</v>
      </c>
      <c r="N31" s="5">
        <v>3.2024166666666671</v>
      </c>
      <c r="O31" s="5">
        <v>3.0946944444444449</v>
      </c>
      <c r="P31" s="5">
        <v>0.52584152353191582</v>
      </c>
      <c r="Q31" s="5"/>
    </row>
    <row r="32" spans="1:17" x14ac:dyDescent="0.35">
      <c r="A32" s="2" t="s">
        <v>1</v>
      </c>
      <c r="B32" s="5">
        <v>23.648437500000004</v>
      </c>
      <c r="C32" s="5">
        <v>31.641666666666666</v>
      </c>
      <c r="D32" s="5">
        <v>28.958333333333336</v>
      </c>
      <c r="E32" s="5">
        <v>28.082812499999999</v>
      </c>
      <c r="F32" s="5">
        <v>4.0679024908315444</v>
      </c>
      <c r="G32" s="5">
        <v>17.108333333333334</v>
      </c>
      <c r="H32" s="5">
        <v>15.075000000000001</v>
      </c>
      <c r="I32" s="5">
        <v>10.236666666666666</v>
      </c>
      <c r="J32" s="5">
        <v>14.14</v>
      </c>
      <c r="K32" s="5">
        <v>3.5299602610290637</v>
      </c>
      <c r="L32" s="5">
        <v>10.75</v>
      </c>
      <c r="M32" s="5">
        <v>14.800000000000002</v>
      </c>
      <c r="N32" s="5">
        <v>19.633333333333333</v>
      </c>
      <c r="O32" s="5">
        <v>15.061111111111112</v>
      </c>
      <c r="P32" s="5">
        <v>4.4474191433950789</v>
      </c>
      <c r="Q32" s="5"/>
    </row>
    <row r="33" spans="1:17" x14ac:dyDescent="0.35">
      <c r="A33" s="3" t="s">
        <v>20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5">
      <c r="A34" s="2" t="s">
        <v>13</v>
      </c>
      <c r="B34" s="12" t="s">
        <v>32</v>
      </c>
      <c r="C34" s="12" t="s">
        <v>33</v>
      </c>
      <c r="D34" s="12" t="s">
        <v>34</v>
      </c>
      <c r="E34" s="6" t="s">
        <v>15</v>
      </c>
      <c r="F34" s="6" t="s">
        <v>16</v>
      </c>
      <c r="G34" s="7" t="s">
        <v>21</v>
      </c>
      <c r="H34" s="7" t="s">
        <v>22</v>
      </c>
      <c r="I34" s="7" t="s">
        <v>23</v>
      </c>
      <c r="J34" s="7" t="s">
        <v>15</v>
      </c>
      <c r="K34" s="7" t="s">
        <v>16</v>
      </c>
      <c r="L34" s="7" t="s">
        <v>24</v>
      </c>
      <c r="M34" s="7" t="s">
        <v>25</v>
      </c>
      <c r="N34" s="7" t="s">
        <v>26</v>
      </c>
      <c r="O34" s="7" t="s">
        <v>15</v>
      </c>
      <c r="P34" s="7" t="s">
        <v>16</v>
      </c>
      <c r="Q34" s="5"/>
    </row>
    <row r="35" spans="1:17" x14ac:dyDescent="0.35">
      <c r="A35" s="1" t="s">
        <v>2</v>
      </c>
      <c r="B35" s="5">
        <v>10.157</v>
      </c>
      <c r="C35" s="5">
        <v>12.784000000000001</v>
      </c>
      <c r="D35" s="5">
        <v>7.5</v>
      </c>
      <c r="E35" s="5">
        <v>20.294</v>
      </c>
      <c r="F35" s="5">
        <v>5.2840283875089131</v>
      </c>
      <c r="G35" s="8">
        <v>13.677</v>
      </c>
      <c r="H35" s="8">
        <v>10.617000000000001</v>
      </c>
      <c r="I35" s="8">
        <v>13.286</v>
      </c>
      <c r="J35" s="8">
        <v>25.053333333333331</v>
      </c>
      <c r="K35" s="8">
        <v>3.3306698025071912</v>
      </c>
      <c r="L35" s="8">
        <v>9.6829999999999998</v>
      </c>
      <c r="M35" s="8">
        <v>11.566000000000001</v>
      </c>
      <c r="N35" s="8">
        <v>11.831</v>
      </c>
      <c r="O35" s="8">
        <v>22.053333333333299</v>
      </c>
      <c r="P35" s="8">
        <v>2.3423375788586354</v>
      </c>
      <c r="Q35" s="5"/>
    </row>
    <row r="36" spans="1:17" x14ac:dyDescent="0.35">
      <c r="A36" s="1" t="s">
        <v>3</v>
      </c>
      <c r="B36" s="5">
        <v>18.670000000000002</v>
      </c>
      <c r="C36" s="5">
        <v>23.66</v>
      </c>
      <c r="D36" s="5">
        <v>16.010000000000002</v>
      </c>
      <c r="E36" s="5">
        <v>38.893333333333338</v>
      </c>
      <c r="F36" s="5">
        <v>7.7673762193763265</v>
      </c>
      <c r="G36" s="8">
        <v>28.72</v>
      </c>
      <c r="H36" s="8">
        <v>27.33</v>
      </c>
      <c r="I36" s="8">
        <v>29.63</v>
      </c>
      <c r="J36" s="8">
        <v>57.12</v>
      </c>
      <c r="K36" s="8">
        <v>2.3166354913969531</v>
      </c>
      <c r="L36" s="8">
        <v>90.27</v>
      </c>
      <c r="M36" s="8">
        <v>91.03</v>
      </c>
      <c r="N36" s="8">
        <v>87.82</v>
      </c>
      <c r="O36" s="8">
        <v>179.41333333333333</v>
      </c>
      <c r="P36" s="8">
        <v>3.3550161450182894</v>
      </c>
      <c r="Q36" s="5"/>
    </row>
    <row r="37" spans="1:17" x14ac:dyDescent="0.35">
      <c r="A37" s="1" t="s">
        <v>4</v>
      </c>
      <c r="B37" s="5">
        <v>200.1</v>
      </c>
      <c r="C37" s="5">
        <v>171.9</v>
      </c>
      <c r="D37" s="5">
        <v>176.4</v>
      </c>
      <c r="E37" s="5">
        <v>365.59999999999997</v>
      </c>
      <c r="F37" s="5">
        <v>30.300495045460877</v>
      </c>
      <c r="G37" s="8">
        <v>215</v>
      </c>
      <c r="H37" s="8">
        <v>223.5</v>
      </c>
      <c r="I37" s="8">
        <v>195</v>
      </c>
      <c r="J37" s="8">
        <v>422.33333333333331</v>
      </c>
      <c r="K37" s="8">
        <v>29.263173671584791</v>
      </c>
      <c r="L37" s="8">
        <v>210.5</v>
      </c>
      <c r="M37" s="8">
        <v>224.4</v>
      </c>
      <c r="N37" s="8">
        <v>197</v>
      </c>
      <c r="O37" s="8">
        <v>421.26666666666665</v>
      </c>
      <c r="P37" s="8">
        <v>27.400973218725895</v>
      </c>
      <c r="Q37" s="5"/>
    </row>
    <row r="38" spans="1:17" x14ac:dyDescent="0.35">
      <c r="A38" s="1" t="s">
        <v>5</v>
      </c>
      <c r="B38" s="5">
        <v>5.5780000000000003</v>
      </c>
      <c r="C38" s="5">
        <v>5.14</v>
      </c>
      <c r="D38" s="5">
        <v>4.4980000000000002</v>
      </c>
      <c r="E38" s="5">
        <v>10.144</v>
      </c>
      <c r="F38" s="5">
        <v>1.0864032400540786</v>
      </c>
      <c r="G38" s="8">
        <v>12.01</v>
      </c>
      <c r="H38" s="8">
        <v>11.74</v>
      </c>
      <c r="I38" s="8">
        <v>10.92</v>
      </c>
      <c r="J38" s="8">
        <v>23.113333333333333</v>
      </c>
      <c r="K38" s="8">
        <v>1.1353119982336719</v>
      </c>
      <c r="L38" s="8">
        <v>36.86</v>
      </c>
      <c r="M38" s="8">
        <v>31.96</v>
      </c>
      <c r="N38" s="8">
        <v>27.83</v>
      </c>
      <c r="O38" s="8">
        <v>64.433333333333323</v>
      </c>
      <c r="P38" s="8">
        <v>9.0409365296596391</v>
      </c>
      <c r="Q38" s="5"/>
    </row>
    <row r="39" spans="1:17" x14ac:dyDescent="0.35">
      <c r="A39" s="1" t="s">
        <v>6</v>
      </c>
      <c r="B39" s="5">
        <v>8.5239999999999991</v>
      </c>
      <c r="C39" s="5">
        <v>8.3049999999999997</v>
      </c>
      <c r="D39" s="5">
        <v>7.4219999999999997</v>
      </c>
      <c r="E39" s="5">
        <v>16.167333333333335</v>
      </c>
      <c r="F39" s="5">
        <v>1.1667773280850688</v>
      </c>
      <c r="G39" s="8">
        <v>10.662000000000001</v>
      </c>
      <c r="H39" s="8">
        <v>13.73</v>
      </c>
      <c r="I39" s="8">
        <v>10.987</v>
      </c>
      <c r="J39" s="8">
        <v>23.586000000000002</v>
      </c>
      <c r="K39" s="8">
        <v>3.3706871702962564</v>
      </c>
      <c r="L39" s="8">
        <v>53.33</v>
      </c>
      <c r="M39" s="8">
        <v>44.46</v>
      </c>
      <c r="N39" s="8">
        <v>44.14</v>
      </c>
      <c r="O39" s="8">
        <v>94.62</v>
      </c>
      <c r="P39" s="8">
        <v>10.431855060342812</v>
      </c>
      <c r="Q39" s="5"/>
    </row>
    <row r="40" spans="1:17" x14ac:dyDescent="0.35">
      <c r="A40" s="1" t="s">
        <v>7</v>
      </c>
      <c r="B40" s="5">
        <v>118.3</v>
      </c>
      <c r="C40" s="5">
        <v>105.7</v>
      </c>
      <c r="D40" s="5">
        <v>102.6</v>
      </c>
      <c r="E40" s="5">
        <v>217.73333333333335</v>
      </c>
      <c r="F40" s="5">
        <v>16.630494079651793</v>
      </c>
      <c r="G40" s="8">
        <v>196.4</v>
      </c>
      <c r="H40" s="8">
        <v>190.45</v>
      </c>
      <c r="I40" s="8">
        <v>180.25</v>
      </c>
      <c r="J40" s="8">
        <v>378.06666666666666</v>
      </c>
      <c r="K40" s="8">
        <v>16.335340012786187</v>
      </c>
      <c r="L40" s="8">
        <v>161.9</v>
      </c>
      <c r="M40" s="8">
        <v>178.8</v>
      </c>
      <c r="N40" s="8">
        <v>165.7</v>
      </c>
      <c r="O40" s="8">
        <v>337.6</v>
      </c>
      <c r="P40" s="8">
        <v>17.732456118654301</v>
      </c>
      <c r="Q40" s="5"/>
    </row>
    <row r="41" spans="1:17" x14ac:dyDescent="0.35">
      <c r="A41" s="1" t="s">
        <v>8</v>
      </c>
      <c r="B41" s="5">
        <v>63.95</v>
      </c>
      <c r="C41" s="5">
        <v>76.64</v>
      </c>
      <c r="D41" s="5">
        <v>88.34</v>
      </c>
      <c r="E41" s="5">
        <v>152.62</v>
      </c>
      <c r="F41" s="5">
        <v>24.396696497681777</v>
      </c>
      <c r="G41" s="8">
        <v>98.91</v>
      </c>
      <c r="H41" s="8">
        <v>112.42</v>
      </c>
      <c r="I41" s="8">
        <v>105.2</v>
      </c>
      <c r="J41" s="8">
        <v>211.01999999999998</v>
      </c>
      <c r="K41" s="8">
        <v>13.520665664086224</v>
      </c>
      <c r="L41" s="8">
        <v>101.2</v>
      </c>
      <c r="M41" s="8">
        <v>105.03</v>
      </c>
      <c r="N41" s="8">
        <v>96.13</v>
      </c>
      <c r="O41" s="8">
        <v>201.57333333333335</v>
      </c>
      <c r="P41" s="8">
        <v>8.928747579214761</v>
      </c>
      <c r="Q41" s="5"/>
    </row>
    <row r="42" spans="1:17" x14ac:dyDescent="0.35">
      <c r="A42" s="1" t="s">
        <v>9</v>
      </c>
      <c r="B42" s="5">
        <v>121.9</v>
      </c>
      <c r="C42" s="5">
        <v>133.4</v>
      </c>
      <c r="D42" s="5">
        <v>123.4</v>
      </c>
      <c r="E42" s="5">
        <v>252.4666666666667</v>
      </c>
      <c r="F42" s="5">
        <v>12.503332889007368</v>
      </c>
      <c r="G42" s="9">
        <v>118.14</v>
      </c>
      <c r="H42" s="9">
        <v>98.15</v>
      </c>
      <c r="I42" s="9">
        <v>136.15</v>
      </c>
      <c r="J42" s="10">
        <f>(G42+H42+I42)*2/3</f>
        <v>234.96000000000004</v>
      </c>
      <c r="K42" s="10">
        <f>STDEV(G42:I42)</f>
        <v>19.00859542417572</v>
      </c>
      <c r="L42" s="8">
        <v>127</v>
      </c>
      <c r="M42" s="8">
        <v>139.69999999999999</v>
      </c>
      <c r="N42" s="8">
        <v>145</v>
      </c>
      <c r="O42" s="8">
        <v>274.46666666666664</v>
      </c>
      <c r="P42" s="8">
        <v>18.500090089870731</v>
      </c>
      <c r="Q42" s="5"/>
    </row>
    <row r="43" spans="1:17" x14ac:dyDescent="0.35">
      <c r="A43" s="1" t="s">
        <v>10</v>
      </c>
      <c r="B43" s="5">
        <v>4.6132999999999997</v>
      </c>
      <c r="C43" s="5">
        <v>6.54</v>
      </c>
      <c r="D43" s="5">
        <v>4.9394999999999998</v>
      </c>
      <c r="E43" s="5">
        <v>10.728533333333333</v>
      </c>
      <c r="F43" s="5">
        <v>2.062390131215071</v>
      </c>
      <c r="G43" s="8">
        <v>12.739000000000001</v>
      </c>
      <c r="H43" s="8">
        <v>8.859</v>
      </c>
      <c r="I43" s="8">
        <v>10.509</v>
      </c>
      <c r="J43" s="8">
        <v>21.404666666666667</v>
      </c>
      <c r="K43" s="8">
        <v>3.8944233633919785</v>
      </c>
      <c r="L43" s="8">
        <v>58.51</v>
      </c>
      <c r="M43" s="8">
        <v>44.97</v>
      </c>
      <c r="N43" s="8">
        <v>48.72</v>
      </c>
      <c r="O43" s="8">
        <v>101.46666666666665</v>
      </c>
      <c r="P43" s="8">
        <v>13.981850139853989</v>
      </c>
      <c r="Q43" s="5"/>
    </row>
    <row r="44" spans="1:17" x14ac:dyDescent="0.35">
      <c r="A44" s="1" t="s">
        <v>11</v>
      </c>
      <c r="B44" s="5">
        <v>45.746000000000002</v>
      </c>
      <c r="C44" s="5">
        <v>29.503</v>
      </c>
      <c r="D44" s="5">
        <v>41.292000000000002</v>
      </c>
      <c r="E44" s="5">
        <v>77.694000000000003</v>
      </c>
      <c r="F44" s="5">
        <v>16.785979983307563</v>
      </c>
      <c r="G44" s="8">
        <v>60.8</v>
      </c>
      <c r="H44" s="8">
        <v>50.215000000000003</v>
      </c>
      <c r="I44" s="8">
        <v>60.082999999999998</v>
      </c>
      <c r="J44" s="8">
        <v>114.06533333333334</v>
      </c>
      <c r="K44" s="8">
        <v>11.830292698548636</v>
      </c>
      <c r="L44" s="8">
        <v>64.322000000000003</v>
      </c>
      <c r="M44" s="8">
        <v>70.811000000000007</v>
      </c>
      <c r="N44" s="8">
        <v>59.636000000000003</v>
      </c>
      <c r="O44" s="8">
        <v>129.846</v>
      </c>
      <c r="P44" s="8">
        <v>11.22337863568721</v>
      </c>
      <c r="Q44" s="5"/>
    </row>
    <row r="45" spans="1:17" x14ac:dyDescent="0.35">
      <c r="A45" s="1" t="s">
        <v>14</v>
      </c>
      <c r="B45" s="5">
        <v>5.9649999999999999</v>
      </c>
      <c r="C45" s="5">
        <v>5.2809999999999997</v>
      </c>
      <c r="D45" s="5">
        <v>4.8140000000000001</v>
      </c>
      <c r="E45" s="5">
        <v>10.706666666666665</v>
      </c>
      <c r="F45" s="5">
        <v>1.1577984856326826</v>
      </c>
      <c r="G45" s="8">
        <v>10.757</v>
      </c>
      <c r="H45" s="8">
        <v>8.3689999999999998</v>
      </c>
      <c r="I45" s="8">
        <v>7.7110000000000003</v>
      </c>
      <c r="J45" s="8">
        <v>17.891333333333332</v>
      </c>
      <c r="K45" s="8">
        <v>3.2055809665852251</v>
      </c>
      <c r="L45" s="8">
        <v>24.18</v>
      </c>
      <c r="M45" s="8">
        <v>21.31</v>
      </c>
      <c r="N45" s="8">
        <v>21.54</v>
      </c>
      <c r="O45" s="8">
        <v>44.686666666666667</v>
      </c>
      <c r="P45" s="8">
        <v>3.1895036186424588</v>
      </c>
      <c r="Q45" s="5"/>
    </row>
    <row r="46" spans="1:17" x14ac:dyDescent="0.35">
      <c r="A46" s="1" t="s">
        <v>12</v>
      </c>
      <c r="B46" s="5">
        <v>37.11</v>
      </c>
      <c r="C46" s="5">
        <v>46.51</v>
      </c>
      <c r="D46" s="5">
        <v>34.270000000000003</v>
      </c>
      <c r="E46" s="5">
        <v>78.593333333333348</v>
      </c>
      <c r="F46" s="5">
        <v>12.812577154239237</v>
      </c>
      <c r="G46" s="8">
        <v>73.75</v>
      </c>
      <c r="H46" s="8">
        <v>64.81</v>
      </c>
      <c r="I46" s="8">
        <v>58.73</v>
      </c>
      <c r="J46" s="8">
        <v>131.52666666666667</v>
      </c>
      <c r="K46" s="8">
        <v>15.110490836942835</v>
      </c>
      <c r="L46" s="8">
        <v>140.5</v>
      </c>
      <c r="M46" s="8">
        <v>144.6</v>
      </c>
      <c r="N46" s="8">
        <v>149.13</v>
      </c>
      <c r="O46" s="8">
        <v>289.48666666666668</v>
      </c>
      <c r="P46" s="8">
        <v>8.6335701383224563</v>
      </c>
      <c r="Q46" s="5"/>
    </row>
    <row r="47" spans="1:17" x14ac:dyDescent="0.35">
      <c r="A47" s="1" t="s">
        <v>0</v>
      </c>
      <c r="B47" s="5">
        <v>16.940000000000001</v>
      </c>
      <c r="C47" s="5">
        <v>12.62</v>
      </c>
      <c r="D47" s="5">
        <v>13.28</v>
      </c>
      <c r="E47" s="5">
        <v>28.560000000000002</v>
      </c>
      <c r="F47" s="5">
        <v>4.6542883451715484</v>
      </c>
      <c r="G47" s="8">
        <v>15.39</v>
      </c>
      <c r="H47" s="8">
        <v>17.59</v>
      </c>
      <c r="I47" s="8">
        <v>16.420000000000002</v>
      </c>
      <c r="J47" s="8">
        <v>32.933333333333337</v>
      </c>
      <c r="K47" s="8">
        <v>2.2014843477375283</v>
      </c>
      <c r="L47" s="8">
        <v>83.41</v>
      </c>
      <c r="M47" s="8">
        <v>59.21</v>
      </c>
      <c r="N47" s="8">
        <v>57.23</v>
      </c>
      <c r="O47" s="8">
        <v>133.23333333333332</v>
      </c>
      <c r="P47" s="8">
        <v>29.154219820350754</v>
      </c>
      <c r="Q47" s="5"/>
    </row>
    <row r="48" spans="1:17" x14ac:dyDescent="0.35">
      <c r="A48" s="1" t="s">
        <v>1</v>
      </c>
      <c r="B48" s="5">
        <v>149.80000000000001</v>
      </c>
      <c r="C48" s="5">
        <v>129.02000000000001</v>
      </c>
      <c r="D48" s="5">
        <v>124.71</v>
      </c>
      <c r="E48" s="5">
        <v>269.02000000000004</v>
      </c>
      <c r="F48" s="5">
        <v>26.83148150959989</v>
      </c>
      <c r="G48" s="8">
        <v>135.80000000000001</v>
      </c>
      <c r="H48" s="8">
        <v>152.5</v>
      </c>
      <c r="I48" s="8">
        <v>153.9</v>
      </c>
      <c r="J48" s="8">
        <v>294.8</v>
      </c>
      <c r="K48" s="8">
        <v>20.140506448448598</v>
      </c>
      <c r="L48" s="8">
        <v>167.3</v>
      </c>
      <c r="M48" s="8">
        <v>173.6</v>
      </c>
      <c r="N48" s="8">
        <v>160</v>
      </c>
      <c r="O48" s="8">
        <v>333.93333333333334</v>
      </c>
      <c r="P48" s="8">
        <v>13.61224938551058</v>
      </c>
      <c r="Q48" s="5"/>
    </row>
    <row r="49" spans="1:17" x14ac:dyDescent="0.35">
      <c r="A49" s="4" t="s">
        <v>27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5">
      <c r="A50" s="2" t="s">
        <v>13</v>
      </c>
      <c r="B50" s="12" t="s">
        <v>32</v>
      </c>
      <c r="C50" s="12" t="s">
        <v>33</v>
      </c>
      <c r="D50" s="12" t="s">
        <v>34</v>
      </c>
      <c r="E50" s="6" t="s">
        <v>15</v>
      </c>
      <c r="F50" s="6" t="s">
        <v>16</v>
      </c>
      <c r="G50" s="7" t="s">
        <v>21</v>
      </c>
      <c r="H50" s="7" t="s">
        <v>22</v>
      </c>
      <c r="I50" s="7" t="s">
        <v>23</v>
      </c>
      <c r="J50" s="7" t="s">
        <v>15</v>
      </c>
      <c r="K50" s="7" t="s">
        <v>16</v>
      </c>
      <c r="L50" s="7" t="s">
        <v>24</v>
      </c>
      <c r="M50" s="7" t="s">
        <v>25</v>
      </c>
      <c r="N50" s="7" t="s">
        <v>26</v>
      </c>
      <c r="O50" s="7" t="s">
        <v>15</v>
      </c>
      <c r="P50" s="7" t="s">
        <v>16</v>
      </c>
      <c r="Q50" s="5"/>
    </row>
    <row r="51" spans="1:17" x14ac:dyDescent="0.35">
      <c r="A51" s="1" t="s">
        <v>2</v>
      </c>
      <c r="B51" s="5">
        <f t="shared" ref="B51:D64" si="0">B3/(B35*2)</f>
        <v>2.3724743745419143</v>
      </c>
      <c r="C51" s="5">
        <f t="shared" si="0"/>
        <v>1.9946808510638296</v>
      </c>
      <c r="D51" s="5">
        <f t="shared" si="0"/>
        <v>4.4444444444444446</v>
      </c>
      <c r="E51" s="5">
        <f>(B51+C51+D51)/3</f>
        <v>2.9371998900167298</v>
      </c>
      <c r="F51" s="5">
        <f>STDEV(B51:D51)</f>
        <v>1.3189092450712816</v>
      </c>
      <c r="G51" s="5">
        <f t="shared" ref="G51:I64" si="1">G3/(G35*2)</f>
        <v>1.4706175596721769</v>
      </c>
      <c r="H51" s="5">
        <f t="shared" si="1"/>
        <v>1.756489464881666</v>
      </c>
      <c r="I51" s="5">
        <f t="shared" si="1"/>
        <v>1.7079864287451221</v>
      </c>
      <c r="J51" s="5">
        <f>(G51+H51+I51)/3</f>
        <v>1.6450311510996549</v>
      </c>
      <c r="K51" s="5">
        <f>STDEV(G51:I51)</f>
        <v>0.15298108309392103</v>
      </c>
      <c r="L51" s="5">
        <f t="shared" ref="L51:N64" si="2">L3/(L35*2)</f>
        <v>1.2134669007538985</v>
      </c>
      <c r="M51" s="5">
        <f t="shared" si="2"/>
        <v>1.1239840913020922</v>
      </c>
      <c r="N51" s="5">
        <f t="shared" si="2"/>
        <v>0.74417613270957295</v>
      </c>
      <c r="O51" s="5">
        <f>(L51+M51+N51)/3</f>
        <v>1.0272090415885213</v>
      </c>
      <c r="P51" s="5">
        <f>STDEV(L51:N51)</f>
        <v>0.24916362882292067</v>
      </c>
      <c r="Q51" s="5"/>
    </row>
    <row r="52" spans="1:17" x14ac:dyDescent="0.35">
      <c r="A52" s="1" t="s">
        <v>3</v>
      </c>
      <c r="B52" s="5">
        <f t="shared" si="0"/>
        <v>0.60554662857822994</v>
      </c>
      <c r="C52" s="5">
        <f t="shared" si="0"/>
        <v>0.29827315541601257</v>
      </c>
      <c r="D52" s="5">
        <f t="shared" si="0"/>
        <v>0.56400761428868851</v>
      </c>
      <c r="E52" s="5">
        <f t="shared" ref="E52:E64" si="3">(B52+C52+D52)/3</f>
        <v>0.48927579942764371</v>
      </c>
      <c r="F52" s="5">
        <f t="shared" ref="F52:F64" si="4">STDEV(B52:D52)</f>
        <v>0.1667119670018086</v>
      </c>
      <c r="G52" s="5">
        <f t="shared" si="1"/>
        <v>0.29774151683970623</v>
      </c>
      <c r="H52" s="5">
        <f t="shared" si="1"/>
        <v>0.43438059354634556</v>
      </c>
      <c r="I52" s="5">
        <f t="shared" si="1"/>
        <v>0.34485145858753691</v>
      </c>
      <c r="J52" s="5">
        <f t="shared" ref="J52:J64" si="5">(G52+H52+I52)/3</f>
        <v>0.35899118965786286</v>
      </c>
      <c r="K52" s="5">
        <f t="shared" ref="K52:K64" si="6">STDEV(G52:I52)</f>
        <v>6.9408272683208205E-2</v>
      </c>
      <c r="L52" s="5">
        <f t="shared" si="2"/>
        <v>0.24371330453085191</v>
      </c>
      <c r="M52" s="5">
        <f t="shared" si="2"/>
        <v>0.19751730198835549</v>
      </c>
      <c r="N52" s="5">
        <f t="shared" si="2"/>
        <v>0.15366163991563772</v>
      </c>
      <c r="O52" s="5">
        <f t="shared" ref="O52:O63" si="7">(L52+M52+N52)/3</f>
        <v>0.19829741547828172</v>
      </c>
      <c r="P52" s="5">
        <f t="shared" ref="P52:P63" si="8">STDEV(L52:N52)</f>
        <v>4.503090058821399E-2</v>
      </c>
      <c r="Q52" s="5"/>
    </row>
    <row r="53" spans="1:17" x14ac:dyDescent="0.35">
      <c r="A53" s="1" t="s">
        <v>4</v>
      </c>
      <c r="B53" s="5">
        <f t="shared" si="0"/>
        <v>5.1963601532567054</v>
      </c>
      <c r="C53" s="5">
        <f t="shared" si="0"/>
        <v>3.8793318374470207</v>
      </c>
      <c r="D53" s="5">
        <f t="shared" si="0"/>
        <v>6.0806068459129685</v>
      </c>
      <c r="E53" s="5">
        <f t="shared" si="3"/>
        <v>5.0520996122055655</v>
      </c>
      <c r="F53" s="5">
        <f t="shared" si="4"/>
        <v>1.1077053956275797</v>
      </c>
      <c r="G53" s="5">
        <f t="shared" si="1"/>
        <v>1.7877906976744187</v>
      </c>
      <c r="H53" s="5">
        <f t="shared" si="1"/>
        <v>2.1669992139790799</v>
      </c>
      <c r="I53" s="5">
        <f t="shared" si="1"/>
        <v>2.1633793556870482</v>
      </c>
      <c r="J53" s="5">
        <f t="shared" si="5"/>
        <v>2.0393897557801819</v>
      </c>
      <c r="K53" s="5">
        <f t="shared" si="6"/>
        <v>0.21789869291323008</v>
      </c>
      <c r="L53" s="5">
        <f t="shared" si="2"/>
        <v>1.191211401425178</v>
      </c>
      <c r="M53" s="5">
        <f t="shared" si="2"/>
        <v>0.93672014260249548</v>
      </c>
      <c r="N53" s="5">
        <f t="shared" si="2"/>
        <v>0.89135952328404333</v>
      </c>
      <c r="O53" s="5">
        <f t="shared" si="7"/>
        <v>1.0064303557705723</v>
      </c>
      <c r="P53" s="5">
        <f t="shared" si="8"/>
        <v>0.16162432543137067</v>
      </c>
      <c r="Q53" s="5"/>
    </row>
    <row r="54" spans="1:17" x14ac:dyDescent="0.35">
      <c r="A54" s="1" t="s">
        <v>5</v>
      </c>
      <c r="B54" s="5">
        <f t="shared" si="0"/>
        <v>1.7342436556312495</v>
      </c>
      <c r="C54" s="5">
        <f t="shared" si="0"/>
        <v>0.90050027793218468</v>
      </c>
      <c r="D54" s="5">
        <f t="shared" si="0"/>
        <v>1.7812149315039489</v>
      </c>
      <c r="E54" s="5">
        <f t="shared" si="3"/>
        <v>1.4719862883557944</v>
      </c>
      <c r="F54" s="5">
        <f t="shared" si="4"/>
        <v>0.49547832472440045</v>
      </c>
      <c r="G54" s="5">
        <f t="shared" si="1"/>
        <v>0.72855953372189841</v>
      </c>
      <c r="H54" s="5">
        <f t="shared" si="1"/>
        <v>0.9266080390441549</v>
      </c>
      <c r="I54" s="5">
        <f t="shared" si="1"/>
        <v>0.85000469615854235</v>
      </c>
      <c r="J54" s="5">
        <f t="shared" si="5"/>
        <v>0.83505742297486518</v>
      </c>
      <c r="K54" s="5">
        <f t="shared" si="6"/>
        <v>9.9866752960209776E-2</v>
      </c>
      <c r="L54" s="5">
        <f t="shared" si="2"/>
        <v>0.40897992403689631</v>
      </c>
      <c r="M54" s="5">
        <f t="shared" si="2"/>
        <v>0.35544430538172711</v>
      </c>
      <c r="N54" s="5">
        <f t="shared" si="2"/>
        <v>0.35288006374103642</v>
      </c>
      <c r="O54" s="5">
        <f t="shared" si="7"/>
        <v>0.37243476438655332</v>
      </c>
      <c r="P54" s="5">
        <f t="shared" si="8"/>
        <v>3.1674995725331334E-2</v>
      </c>
      <c r="Q54" s="5"/>
    </row>
    <row r="55" spans="1:17" x14ac:dyDescent="0.35">
      <c r="A55" s="1" t="s">
        <v>6</v>
      </c>
      <c r="B55" s="5">
        <f t="shared" si="0"/>
        <v>2.3886803274414725</v>
      </c>
      <c r="C55" s="5">
        <f t="shared" si="0"/>
        <v>1.3709469338608415</v>
      </c>
      <c r="D55" s="5">
        <f t="shared" si="0"/>
        <v>2.2888837561432549</v>
      </c>
      <c r="E55" s="5">
        <f t="shared" si="3"/>
        <v>2.0161703391485228</v>
      </c>
      <c r="F55" s="5">
        <f t="shared" si="4"/>
        <v>0.56100336091595171</v>
      </c>
      <c r="G55" s="5">
        <f t="shared" si="1"/>
        <v>1.6083030644088607</v>
      </c>
      <c r="H55" s="5">
        <f t="shared" si="1"/>
        <v>1.6175862679868507</v>
      </c>
      <c r="I55" s="5">
        <f t="shared" si="1"/>
        <v>1.8004961574634823</v>
      </c>
      <c r="J55" s="5">
        <f t="shared" si="5"/>
        <v>1.6754618299530646</v>
      </c>
      <c r="K55" s="5">
        <f t="shared" si="6"/>
        <v>0.10838234062408143</v>
      </c>
      <c r="L55" s="5">
        <f t="shared" si="2"/>
        <v>0.70973185824114016</v>
      </c>
      <c r="M55" s="5">
        <f t="shared" si="2"/>
        <v>0.77103013945119214</v>
      </c>
      <c r="N55" s="5">
        <f t="shared" si="2"/>
        <v>0.51589803195366524</v>
      </c>
      <c r="O55" s="5">
        <f t="shared" si="7"/>
        <v>0.66555334321533255</v>
      </c>
      <c r="P55" s="5">
        <f t="shared" si="8"/>
        <v>0.13317996831898768</v>
      </c>
      <c r="Q55" s="5"/>
    </row>
    <row r="56" spans="1:17" x14ac:dyDescent="0.35">
      <c r="A56" s="1" t="s">
        <v>7</v>
      </c>
      <c r="B56" s="5">
        <f t="shared" si="0"/>
        <v>4.3228139381985535</v>
      </c>
      <c r="C56" s="5">
        <f t="shared" si="0"/>
        <v>2.7630423030139211</v>
      </c>
      <c r="D56" s="5">
        <f t="shared" si="0"/>
        <v>3.9230019493177397</v>
      </c>
      <c r="E56" s="5">
        <f t="shared" si="3"/>
        <v>3.6696193968434048</v>
      </c>
      <c r="F56" s="5">
        <f t="shared" si="4"/>
        <v>0.81016907303688479</v>
      </c>
      <c r="G56" s="5">
        <f t="shared" si="1"/>
        <v>0.72845306424736156</v>
      </c>
      <c r="H56" s="5">
        <f t="shared" si="1"/>
        <v>1.0760432262138746</v>
      </c>
      <c r="I56" s="5">
        <f t="shared" si="1"/>
        <v>1.0686724278957287</v>
      </c>
      <c r="J56" s="5">
        <f t="shared" si="5"/>
        <v>0.95772290611898825</v>
      </c>
      <c r="K56" s="5">
        <f t="shared" si="6"/>
        <v>0.19858770722489938</v>
      </c>
      <c r="L56" s="5">
        <f t="shared" si="2"/>
        <v>0.25532736256948729</v>
      </c>
      <c r="M56" s="5">
        <f t="shared" si="2"/>
        <v>0.26717002237136467</v>
      </c>
      <c r="N56" s="5">
        <f t="shared" si="2"/>
        <v>0.15303980478077198</v>
      </c>
      <c r="O56" s="5">
        <f t="shared" si="7"/>
        <v>0.22517906324054129</v>
      </c>
      <c r="P56" s="5">
        <f t="shared" si="8"/>
        <v>6.275441503304606E-2</v>
      </c>
      <c r="Q56" s="5"/>
    </row>
    <row r="57" spans="1:17" x14ac:dyDescent="0.35">
      <c r="A57" s="1" t="s">
        <v>8</v>
      </c>
      <c r="B57" s="5">
        <f t="shared" si="0"/>
        <v>0.42217987142733038</v>
      </c>
      <c r="C57" s="5">
        <f t="shared" si="0"/>
        <v>0.20994724873247839</v>
      </c>
      <c r="D57" s="5">
        <f t="shared" si="0"/>
        <v>0.2466121155276691</v>
      </c>
      <c r="E57" s="5">
        <f t="shared" si="3"/>
        <v>0.29291307856249266</v>
      </c>
      <c r="F57" s="5">
        <f t="shared" si="4"/>
        <v>0.11343943722289836</v>
      </c>
      <c r="G57" s="5">
        <f t="shared" si="1"/>
        <v>6.232709258186965E-2</v>
      </c>
      <c r="H57" s="5">
        <f t="shared" si="1"/>
        <v>0.1041581521033576</v>
      </c>
      <c r="I57" s="5">
        <f t="shared" si="1"/>
        <v>0.10236911377595789</v>
      </c>
      <c r="J57" s="5">
        <f t="shared" si="5"/>
        <v>8.9618119487061706E-2</v>
      </c>
      <c r="K57" s="5">
        <f t="shared" si="6"/>
        <v>2.3651644270307463E-2</v>
      </c>
      <c r="L57" s="5">
        <f t="shared" si="2"/>
        <v>6.8386857707509879E-2</v>
      </c>
      <c r="M57" s="5">
        <f t="shared" si="2"/>
        <v>4.4749119299247825E-2</v>
      </c>
      <c r="N57" s="5">
        <f t="shared" si="2"/>
        <v>3.6182886399305288E-2</v>
      </c>
      <c r="O57" s="5">
        <f t="shared" si="7"/>
        <v>4.9772954468687659E-2</v>
      </c>
      <c r="P57" s="5">
        <f t="shared" si="8"/>
        <v>1.6679422407931011E-2</v>
      </c>
      <c r="Q57" s="5"/>
    </row>
    <row r="58" spans="1:17" x14ac:dyDescent="0.35">
      <c r="A58" s="1" t="s">
        <v>9</v>
      </c>
      <c r="B58" s="5">
        <f t="shared" si="0"/>
        <v>0.42378771306170809</v>
      </c>
      <c r="C58" s="5">
        <f t="shared" si="0"/>
        <v>0.21990790319126152</v>
      </c>
      <c r="D58" s="5">
        <f t="shared" si="0"/>
        <v>0.32530678397777263</v>
      </c>
      <c r="E58" s="5">
        <f>(B58+C58+D58)/3</f>
        <v>0.32300080007691406</v>
      </c>
      <c r="F58" s="5">
        <f t="shared" si="4"/>
        <v>0.10195946444306007</v>
      </c>
      <c r="G58" s="10">
        <f t="shared" si="1"/>
        <v>8.8396663434753858E-2</v>
      </c>
      <c r="H58" s="10">
        <f t="shared" si="1"/>
        <v>0.15399760432873014</v>
      </c>
      <c r="I58" s="10">
        <f t="shared" si="1"/>
        <v>0.10617060745595448</v>
      </c>
      <c r="J58" s="10">
        <f t="shared" si="5"/>
        <v>0.11618829173981282</v>
      </c>
      <c r="K58" s="10">
        <f t="shared" si="6"/>
        <v>3.392840049799048E-2</v>
      </c>
      <c r="L58" s="5">
        <f t="shared" si="2"/>
        <v>7.1259842519685035E-2</v>
      </c>
      <c r="M58" s="5">
        <f t="shared" si="2"/>
        <v>6.0987831066571227E-2</v>
      </c>
      <c r="N58" s="5">
        <f t="shared" si="2"/>
        <v>4.6589205397301353E-2</v>
      </c>
      <c r="O58" s="5">
        <f t="shared" si="7"/>
        <v>5.9612292994519207E-2</v>
      </c>
      <c r="P58" s="5">
        <f t="shared" si="8"/>
        <v>1.2392706030033621E-2</v>
      </c>
      <c r="Q58" s="5"/>
    </row>
    <row r="59" spans="1:17" x14ac:dyDescent="0.35">
      <c r="A59" s="1" t="s">
        <v>10</v>
      </c>
      <c r="B59" s="5">
        <f t="shared" si="0"/>
        <v>0.85682218320459935</v>
      </c>
      <c r="C59" s="5">
        <f t="shared" si="0"/>
        <v>0.66568370467453053</v>
      </c>
      <c r="D59" s="5">
        <f t="shared" si="0"/>
        <v>0.81522132083929844</v>
      </c>
      <c r="E59" s="5">
        <f t="shared" si="3"/>
        <v>0.77924240290614277</v>
      </c>
      <c r="F59" s="5">
        <f t="shared" si="4"/>
        <v>0.10052035314018713</v>
      </c>
      <c r="G59" s="5">
        <f t="shared" si="1"/>
        <v>0.32951780145437415</v>
      </c>
      <c r="H59" s="5">
        <f t="shared" si="1"/>
        <v>0.66583684937901</v>
      </c>
      <c r="I59" s="5">
        <f t="shared" si="1"/>
        <v>0.45376246489577915</v>
      </c>
      <c r="J59" s="5">
        <f t="shared" si="5"/>
        <v>0.4830390385763878</v>
      </c>
      <c r="K59" s="5">
        <f t="shared" si="6"/>
        <v>0.17006017706709137</v>
      </c>
      <c r="L59" s="5">
        <f t="shared" si="2"/>
        <v>0.21118184925653735</v>
      </c>
      <c r="M59" s="5">
        <f t="shared" si="2"/>
        <v>0.22904158327774074</v>
      </c>
      <c r="N59" s="5">
        <f t="shared" si="2"/>
        <v>0.17377471978296566</v>
      </c>
      <c r="O59" s="5">
        <f t="shared" si="7"/>
        <v>0.20466605077241459</v>
      </c>
      <c r="P59" s="5">
        <f t="shared" si="8"/>
        <v>2.8203692533989317E-2</v>
      </c>
      <c r="Q59" s="5"/>
    </row>
    <row r="60" spans="1:17" x14ac:dyDescent="0.35">
      <c r="A60" s="1" t="s">
        <v>11</v>
      </c>
      <c r="B60" s="5">
        <f t="shared" si="0"/>
        <v>0.47651403644277335</v>
      </c>
      <c r="C60" s="5">
        <f t="shared" si="0"/>
        <v>0.54171246507619086</v>
      </c>
      <c r="D60" s="5">
        <f t="shared" si="0"/>
        <v>0.33645396548622358</v>
      </c>
      <c r="E60" s="5">
        <f t="shared" si="3"/>
        <v>0.45156015566839591</v>
      </c>
      <c r="F60" s="5">
        <f t="shared" si="4"/>
        <v>0.10487986001972714</v>
      </c>
      <c r="G60" s="5">
        <f t="shared" si="1"/>
        <v>0.16821172248803828</v>
      </c>
      <c r="H60" s="5">
        <f t="shared" si="1"/>
        <v>0.36182254145014275</v>
      </c>
      <c r="I60" s="5">
        <f t="shared" si="1"/>
        <v>0.19812336524218421</v>
      </c>
      <c r="J60" s="5">
        <f t="shared" si="5"/>
        <v>0.2427192097267884</v>
      </c>
      <c r="K60" s="5">
        <f t="shared" si="6"/>
        <v>0.10422513762891111</v>
      </c>
      <c r="L60" s="5">
        <f t="shared" si="2"/>
        <v>0.29072479089580544</v>
      </c>
      <c r="M60" s="5">
        <f t="shared" si="2"/>
        <v>0.27128553473330413</v>
      </c>
      <c r="N60" s="5">
        <f t="shared" si="2"/>
        <v>0.18171836678749631</v>
      </c>
      <c r="O60" s="5">
        <f t="shared" si="7"/>
        <v>0.24790956413886864</v>
      </c>
      <c r="P60" s="5">
        <f t="shared" si="8"/>
        <v>5.8141440686863624E-2</v>
      </c>
      <c r="Q60" s="5"/>
    </row>
    <row r="61" spans="1:17" x14ac:dyDescent="0.35">
      <c r="A61" s="1" t="s">
        <v>14</v>
      </c>
      <c r="B61" s="5">
        <f t="shared" si="0"/>
        <v>0.24529663779454228</v>
      </c>
      <c r="C61" s="5">
        <f t="shared" si="0"/>
        <v>0.18144561365542242</v>
      </c>
      <c r="D61" s="5">
        <f t="shared" si="0"/>
        <v>0.34893267651888343</v>
      </c>
      <c r="E61" s="5">
        <f t="shared" si="3"/>
        <v>0.25855830932294938</v>
      </c>
      <c r="F61" s="5">
        <f t="shared" si="4"/>
        <v>8.4527409787906987E-2</v>
      </c>
      <c r="G61" s="5">
        <f t="shared" si="1"/>
        <v>0.15132852180820944</v>
      </c>
      <c r="H61" s="5">
        <f t="shared" si="1"/>
        <v>0.23372936803454189</v>
      </c>
      <c r="I61" s="5">
        <f t="shared" si="1"/>
        <v>0.20724639126921579</v>
      </c>
      <c r="J61" s="5">
        <f t="shared" si="5"/>
        <v>0.19743476037065574</v>
      </c>
      <c r="K61" s="5">
        <f t="shared" si="6"/>
        <v>4.2067516451189328E-2</v>
      </c>
      <c r="L61" s="5">
        <f t="shared" si="2"/>
        <v>0.23568031430934655</v>
      </c>
      <c r="M61" s="5">
        <f t="shared" si="2"/>
        <v>0.22599718442045988</v>
      </c>
      <c r="N61" s="5">
        <f t="shared" si="2"/>
        <v>0.10720701626902425</v>
      </c>
      <c r="O61" s="5">
        <f t="shared" si="7"/>
        <v>0.18962817166627691</v>
      </c>
      <c r="P61" s="5">
        <f t="shared" si="8"/>
        <v>7.1542825593310252E-2</v>
      </c>
      <c r="Q61" s="5"/>
    </row>
    <row r="62" spans="1:17" x14ac:dyDescent="0.35">
      <c r="A62" s="1" t="s">
        <v>12</v>
      </c>
      <c r="B62" s="5">
        <f t="shared" si="0"/>
        <v>8.1869966166651709E-2</v>
      </c>
      <c r="C62" s="5">
        <f t="shared" si="0"/>
        <v>4.4521915409896494E-2</v>
      </c>
      <c r="D62" s="5">
        <f t="shared" si="0"/>
        <v>8.760959884391456E-2</v>
      </c>
      <c r="E62" s="5">
        <f t="shared" si="3"/>
        <v>7.1333826806820919E-2</v>
      </c>
      <c r="F62" s="5">
        <f t="shared" si="4"/>
        <v>2.3396469613701783E-2</v>
      </c>
      <c r="G62" s="5">
        <f t="shared" si="1"/>
        <v>4.1070878274268106E-2</v>
      </c>
      <c r="H62" s="5">
        <f t="shared" si="1"/>
        <v>4.8030208885015246E-2</v>
      </c>
      <c r="I62" s="5">
        <f t="shared" si="1"/>
        <v>4.7239212912633652E-2</v>
      </c>
      <c r="J62" s="5">
        <f t="shared" si="5"/>
        <v>4.5446766690638997E-2</v>
      </c>
      <c r="K62" s="5">
        <f t="shared" si="6"/>
        <v>3.8102123604174228E-3</v>
      </c>
      <c r="L62" s="5">
        <f t="shared" si="2"/>
        <v>4.1512455516014235E-2</v>
      </c>
      <c r="M62" s="5">
        <f t="shared" si="2"/>
        <v>3.5567081604426003E-2</v>
      </c>
      <c r="N62" s="5">
        <f t="shared" si="2"/>
        <v>1.8381977790022708E-2</v>
      </c>
      <c r="O62" s="5">
        <f t="shared" si="7"/>
        <v>3.1820504970154317E-2</v>
      </c>
      <c r="P62" s="5">
        <f t="shared" si="8"/>
        <v>1.2011759959119246E-2</v>
      </c>
      <c r="Q62" s="5"/>
    </row>
    <row r="63" spans="1:17" x14ac:dyDescent="0.35">
      <c r="A63" s="1" t="s">
        <v>0</v>
      </c>
      <c r="B63" s="5">
        <f t="shared" si="0"/>
        <v>0.23830020989111902</v>
      </c>
      <c r="C63" s="5">
        <f t="shared" si="0"/>
        <v>0.14800769753226176</v>
      </c>
      <c r="D63" s="5">
        <f t="shared" si="0"/>
        <v>0.18861158921399887</v>
      </c>
      <c r="E63" s="5">
        <f t="shared" si="3"/>
        <v>0.19163983221245987</v>
      </c>
      <c r="F63" s="5">
        <f t="shared" si="4"/>
        <v>4.522236325936433E-2</v>
      </c>
      <c r="G63" s="5">
        <f t="shared" si="1"/>
        <v>0.14542353358142829</v>
      </c>
      <c r="H63" s="5">
        <f t="shared" si="1"/>
        <v>0.13644115974985788</v>
      </c>
      <c r="I63" s="5">
        <f t="shared" si="1"/>
        <v>0.14690496267840969</v>
      </c>
      <c r="J63" s="5">
        <f t="shared" si="5"/>
        <v>0.14292321866989863</v>
      </c>
      <c r="K63" s="5">
        <f t="shared" si="6"/>
        <v>5.6622852210486173E-3</v>
      </c>
      <c r="L63" s="5">
        <f t="shared" si="2"/>
        <v>4.8315549694281264E-2</v>
      </c>
      <c r="M63" s="5">
        <f t="shared" si="2"/>
        <v>5.3352474244215506E-2</v>
      </c>
      <c r="N63" s="5">
        <f t="shared" si="2"/>
        <v>3.2097790000683746E-2</v>
      </c>
      <c r="O63" s="5">
        <f t="shared" si="7"/>
        <v>4.4588604646393505E-2</v>
      </c>
      <c r="P63" s="5">
        <f t="shared" si="8"/>
        <v>1.1106664220887408E-2</v>
      </c>
      <c r="Q63" s="5"/>
    </row>
    <row r="64" spans="1:17" x14ac:dyDescent="0.35">
      <c r="A64" s="1" t="s">
        <v>1</v>
      </c>
      <c r="B64" s="5">
        <f t="shared" si="0"/>
        <v>0.31059931760866338</v>
      </c>
      <c r="C64" s="5">
        <f t="shared" si="0"/>
        <v>0.19011448944792614</v>
      </c>
      <c r="D64" s="5">
        <f t="shared" si="0"/>
        <v>0.27936240649735961</v>
      </c>
      <c r="E64" s="5">
        <f t="shared" si="3"/>
        <v>0.26002540451798306</v>
      </c>
      <c r="F64" s="5">
        <f t="shared" si="4"/>
        <v>6.2526699804110908E-2</v>
      </c>
      <c r="G64" s="5">
        <f t="shared" si="1"/>
        <v>0.14890714955147943</v>
      </c>
      <c r="H64" s="5">
        <f t="shared" si="1"/>
        <v>0.18732831191847585</v>
      </c>
      <c r="I64" s="5">
        <f t="shared" si="1"/>
        <v>0.14844804318488528</v>
      </c>
      <c r="J64" s="5">
        <f t="shared" si="5"/>
        <v>0.16156116821828018</v>
      </c>
      <c r="K64" s="5">
        <f t="shared" si="6"/>
        <v>2.2316181696559783E-2</v>
      </c>
      <c r="L64" s="5">
        <f t="shared" si="2"/>
        <v>0.11917214584578599</v>
      </c>
      <c r="M64" s="5">
        <f t="shared" si="2"/>
        <v>9.5103686635944706E-2</v>
      </c>
      <c r="N64" s="5">
        <f t="shared" si="2"/>
        <v>6.640625E-2</v>
      </c>
      <c r="O64" s="5">
        <f>(L64+M64+N64)/3</f>
        <v>9.3560694160576899E-2</v>
      </c>
      <c r="P64" s="5">
        <f>STDEV(L64:N64)</f>
        <v>2.6416766653706215E-2</v>
      </c>
      <c r="Q64" s="5"/>
    </row>
    <row r="65" spans="1:17" x14ac:dyDescent="0.35">
      <c r="A65" s="4" t="s">
        <v>28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5">
      <c r="A66" s="2" t="s">
        <v>13</v>
      </c>
      <c r="B66" s="12" t="s">
        <v>32</v>
      </c>
      <c r="C66" s="12" t="s">
        <v>33</v>
      </c>
      <c r="D66" s="12" t="s">
        <v>34</v>
      </c>
      <c r="E66" s="6" t="s">
        <v>15</v>
      </c>
      <c r="F66" s="6" t="s">
        <v>16</v>
      </c>
      <c r="G66" s="7" t="s">
        <v>21</v>
      </c>
      <c r="H66" s="7" t="s">
        <v>22</v>
      </c>
      <c r="I66" s="7" t="s">
        <v>23</v>
      </c>
      <c r="J66" s="7" t="s">
        <v>15</v>
      </c>
      <c r="K66" s="7" t="s">
        <v>16</v>
      </c>
      <c r="L66" s="7" t="s">
        <v>24</v>
      </c>
      <c r="M66" s="7" t="s">
        <v>25</v>
      </c>
      <c r="N66" s="7" t="s">
        <v>26</v>
      </c>
      <c r="O66" s="7" t="s">
        <v>15</v>
      </c>
      <c r="P66" s="7" t="s">
        <v>16</v>
      </c>
      <c r="Q66" s="5"/>
    </row>
    <row r="67" spans="1:17" x14ac:dyDescent="0.35">
      <c r="A67" s="1" t="s">
        <v>2</v>
      </c>
      <c r="B67" s="5">
        <f>B19/(B35*2)</f>
        <v>1.9267807915723143</v>
      </c>
      <c r="C67" s="5">
        <f t="shared" ref="B67:D80" si="9">C19/(C35*2)</f>
        <v>2.0240143929912389</v>
      </c>
      <c r="D67" s="5">
        <f>D19/(D35*2)</f>
        <v>3.2444444444444445</v>
      </c>
      <c r="E67" s="5">
        <f>(B67+C67+D67)/3</f>
        <v>2.3984132096693327</v>
      </c>
      <c r="F67" s="5">
        <f>STDEV(B67:D67)</f>
        <v>0.73429573808687543</v>
      </c>
      <c r="G67" s="5">
        <f t="shared" ref="G67:I80" si="10">G19/(G35*2)</f>
        <v>1.1180570787940827</v>
      </c>
      <c r="H67" s="5">
        <f t="shared" si="10"/>
        <v>1.2126777809173965</v>
      </c>
      <c r="I67" s="5">
        <f t="shared" si="10"/>
        <v>1.5617943700135484</v>
      </c>
      <c r="J67" s="5">
        <f>(G67+H67+I67)/3</f>
        <v>1.297509743241676</v>
      </c>
      <c r="K67" s="5">
        <f>STDEV(G67:I67)</f>
        <v>0.23371572963439458</v>
      </c>
      <c r="L67" s="5">
        <f t="shared" ref="L67:N80" si="11">L19/(L35*2)</f>
        <v>0.7960687114874867</v>
      </c>
      <c r="M67" s="5">
        <f t="shared" si="11"/>
        <v>0.9150383307395239</v>
      </c>
      <c r="N67" s="5">
        <f t="shared" si="11"/>
        <v>0.53883864423970929</v>
      </c>
      <c r="O67" s="5">
        <f>(L67+M67+N67)/3</f>
        <v>0.74998189548890659</v>
      </c>
      <c r="P67" s="5">
        <f>STDEV(L67:N67)</f>
        <v>0.19228766727823463</v>
      </c>
      <c r="Q67" s="5"/>
    </row>
    <row r="68" spans="1:17" x14ac:dyDescent="0.35">
      <c r="A68" s="1" t="s">
        <v>3</v>
      </c>
      <c r="B68" s="5">
        <f t="shared" si="9"/>
        <v>4.1056424076057842</v>
      </c>
      <c r="C68" s="5">
        <f t="shared" si="9"/>
        <v>4.4848901098901095</v>
      </c>
      <c r="D68" s="5">
        <f t="shared" si="9"/>
        <v>4.5635540287320424</v>
      </c>
      <c r="E68" s="5">
        <f t="shared" ref="E68:E79" si="12">(B68+C68+D68)/3</f>
        <v>4.3846955154093123</v>
      </c>
      <c r="F68" s="5">
        <f t="shared" ref="F68:F79" si="13">STDEV(B68:D68)</f>
        <v>0.24484685165016526</v>
      </c>
      <c r="G68" s="5">
        <f t="shared" si="10"/>
        <v>6.1034702878365827</v>
      </c>
      <c r="H68" s="5">
        <f t="shared" si="10"/>
        <v>5.4175814123673618</v>
      </c>
      <c r="I68" s="5">
        <f t="shared" si="10"/>
        <v>5.4041511981100241</v>
      </c>
      <c r="J68" s="5">
        <f t="shared" ref="J68:J79" si="14">(G68+H68+I68)/3</f>
        <v>5.6417342994379895</v>
      </c>
      <c r="K68" s="5">
        <f t="shared" ref="K68:K79" si="15">STDEV(G68:I68)</f>
        <v>0.39993147525616041</v>
      </c>
      <c r="L68" s="5">
        <f t="shared" si="11"/>
        <v>2.1047967209482663</v>
      </c>
      <c r="M68" s="5">
        <f t="shared" si="11"/>
        <v>2.6419861584093161</v>
      </c>
      <c r="N68" s="5">
        <f t="shared" si="11"/>
        <v>1.9082593183025889</v>
      </c>
      <c r="O68" s="5">
        <f t="shared" ref="O68:O79" si="16">(L68+M68+N68)/3</f>
        <v>2.2183473992200571</v>
      </c>
      <c r="P68" s="5">
        <f t="shared" ref="P68:P79" si="17">STDEV(L68:N68)</f>
        <v>0.37981454207973686</v>
      </c>
      <c r="Q68" s="5"/>
    </row>
    <row r="69" spans="1:17" x14ac:dyDescent="0.35">
      <c r="A69" s="1" t="s">
        <v>4</v>
      </c>
      <c r="B69" s="5">
        <f t="shared" si="9"/>
        <v>44.333302098950526</v>
      </c>
      <c r="C69" s="5">
        <f t="shared" si="9"/>
        <v>46.465968586387433</v>
      </c>
      <c r="D69" s="5">
        <f t="shared" si="9"/>
        <v>47.808012093726383</v>
      </c>
      <c r="E69" s="5">
        <f t="shared" si="12"/>
        <v>46.202427593021447</v>
      </c>
      <c r="F69" s="5">
        <f t="shared" si="13"/>
        <v>1.7522821628770455</v>
      </c>
      <c r="G69" s="5">
        <f t="shared" si="10"/>
        <v>18.424418604651162</v>
      </c>
      <c r="H69" s="5">
        <f t="shared" si="10"/>
        <v>14.479865771812081</v>
      </c>
      <c r="I69" s="5">
        <f t="shared" si="10"/>
        <v>16.965811965811966</v>
      </c>
      <c r="J69" s="5">
        <f t="shared" si="14"/>
        <v>16.623365447425069</v>
      </c>
      <c r="K69" s="5">
        <f t="shared" si="15"/>
        <v>1.9944489154228005</v>
      </c>
      <c r="L69" s="5">
        <f t="shared" si="11"/>
        <v>8.0918448139350758</v>
      </c>
      <c r="M69" s="5">
        <f t="shared" si="11"/>
        <v>9.4994058229352358</v>
      </c>
      <c r="N69" s="5">
        <f t="shared" si="11"/>
        <v>11.21615905245347</v>
      </c>
      <c r="O69" s="5">
        <f t="shared" si="16"/>
        <v>9.6024698964412618</v>
      </c>
      <c r="P69" s="5">
        <f t="shared" si="17"/>
        <v>1.5647049299110434</v>
      </c>
      <c r="Q69" s="5"/>
    </row>
    <row r="70" spans="1:17" x14ac:dyDescent="0.35">
      <c r="A70" s="1" t="s">
        <v>5</v>
      </c>
      <c r="B70" s="5">
        <f t="shared" si="9"/>
        <v>1.338965579060595</v>
      </c>
      <c r="C70" s="5">
        <f t="shared" si="9"/>
        <v>1.1673151750972763</v>
      </c>
      <c r="D70" s="5">
        <f t="shared" si="9"/>
        <v>1.1820068178449681</v>
      </c>
      <c r="E70" s="5">
        <f t="shared" si="12"/>
        <v>1.2294291906676131</v>
      </c>
      <c r="F70" s="5">
        <f t="shared" si="13"/>
        <v>9.5145290888672351E-2</v>
      </c>
      <c r="G70" s="5">
        <f t="shared" si="10"/>
        <v>0.51797113516514026</v>
      </c>
      <c r="H70" s="5">
        <f t="shared" si="10"/>
        <v>0.5302385008517887</v>
      </c>
      <c r="I70" s="5">
        <f t="shared" si="10"/>
        <v>0.67307692307692313</v>
      </c>
      <c r="J70" s="5">
        <f t="shared" si="14"/>
        <v>0.57376218636461729</v>
      </c>
      <c r="K70" s="5">
        <f t="shared" si="15"/>
        <v>8.6227517425694705E-2</v>
      </c>
      <c r="L70" s="5">
        <f t="shared" si="11"/>
        <v>0.21005154639175261</v>
      </c>
      <c r="M70" s="5">
        <f t="shared" si="11"/>
        <v>0.21194461827284103</v>
      </c>
      <c r="N70" s="5">
        <f t="shared" si="11"/>
        <v>0.30756677446400771</v>
      </c>
      <c r="O70" s="5">
        <f t="shared" si="16"/>
        <v>0.24318764637620047</v>
      </c>
      <c r="P70" s="5">
        <f t="shared" si="17"/>
        <v>5.5761994497116565E-2</v>
      </c>
      <c r="Q70" s="5"/>
    </row>
    <row r="71" spans="1:17" x14ac:dyDescent="0.35">
      <c r="A71" s="1" t="s">
        <v>6</v>
      </c>
      <c r="B71" s="5">
        <f t="shared" si="9"/>
        <v>2.009033317691225</v>
      </c>
      <c r="C71" s="5">
        <f t="shared" si="9"/>
        <v>1.5186634557495489</v>
      </c>
      <c r="D71" s="5">
        <f t="shared" si="9"/>
        <v>1.9109853588430792</v>
      </c>
      <c r="E71" s="5">
        <f t="shared" si="12"/>
        <v>1.8128940440946177</v>
      </c>
      <c r="F71" s="5">
        <f t="shared" si="13"/>
        <v>0.25948425751283144</v>
      </c>
      <c r="G71" s="5">
        <f t="shared" si="10"/>
        <v>1.257972237854061</v>
      </c>
      <c r="H71" s="5">
        <f t="shared" si="10"/>
        <v>1.1920369021607187</v>
      </c>
      <c r="I71" s="5">
        <f t="shared" si="10"/>
        <v>1.87494311458997</v>
      </c>
      <c r="J71" s="5">
        <f t="shared" si="14"/>
        <v>1.4416507515349164</v>
      </c>
      <c r="K71" s="5">
        <f t="shared" si="15"/>
        <v>0.37668763058351568</v>
      </c>
      <c r="L71" s="5">
        <f t="shared" si="11"/>
        <v>0.37049190574410906</v>
      </c>
      <c r="M71" s="5">
        <f t="shared" si="11"/>
        <v>0.42781901334532918</v>
      </c>
      <c r="N71" s="5">
        <f t="shared" si="11"/>
        <v>0.46896239238785681</v>
      </c>
      <c r="O71" s="5">
        <f t="shared" si="16"/>
        <v>0.42242443715909833</v>
      </c>
      <c r="P71" s="5">
        <f t="shared" si="17"/>
        <v>4.9456397706827707E-2</v>
      </c>
      <c r="Q71" s="5"/>
    </row>
    <row r="72" spans="1:17" x14ac:dyDescent="0.35">
      <c r="A72" s="1" t="s">
        <v>7</v>
      </c>
      <c r="B72" s="5">
        <f t="shared" si="9"/>
        <v>14.71034974640744</v>
      </c>
      <c r="C72" s="5">
        <f t="shared" si="9"/>
        <v>15.176600441501105</v>
      </c>
      <c r="D72" s="5">
        <f t="shared" si="9"/>
        <v>15.3183885640026</v>
      </c>
      <c r="E72" s="5">
        <f t="shared" si="12"/>
        <v>15.068446250637047</v>
      </c>
      <c r="F72" s="5">
        <f t="shared" si="13"/>
        <v>0.31812072814691622</v>
      </c>
      <c r="G72" s="5">
        <f t="shared" si="10"/>
        <v>4.5739986422267478</v>
      </c>
      <c r="H72" s="5">
        <f t="shared" si="10"/>
        <v>3.4370350923251953</v>
      </c>
      <c r="I72" s="5">
        <f t="shared" si="10"/>
        <v>4.9398982894128531</v>
      </c>
      <c r="J72" s="5">
        <f t="shared" si="14"/>
        <v>4.316977341321599</v>
      </c>
      <c r="K72" s="5">
        <f t="shared" si="15"/>
        <v>0.78370556277811665</v>
      </c>
      <c r="L72" s="5">
        <f t="shared" si="11"/>
        <v>0.76255919291743879</v>
      </c>
      <c r="M72" s="5">
        <f t="shared" si="11"/>
        <v>0.81725391498881428</v>
      </c>
      <c r="N72" s="5">
        <f t="shared" si="11"/>
        <v>1.0070911285455644</v>
      </c>
      <c r="O72" s="5">
        <f t="shared" si="16"/>
        <v>0.86230141215060574</v>
      </c>
      <c r="P72" s="5">
        <f t="shared" si="17"/>
        <v>0.1283391001835209</v>
      </c>
      <c r="Q72" s="5"/>
    </row>
    <row r="73" spans="1:17" x14ac:dyDescent="0.35">
      <c r="A73" s="1" t="s">
        <v>8</v>
      </c>
      <c r="B73" s="5">
        <f t="shared" si="9"/>
        <v>0.51896012509773259</v>
      </c>
      <c r="C73" s="5">
        <f t="shared" si="9"/>
        <v>0.57520006958942238</v>
      </c>
      <c r="D73" s="5">
        <f t="shared" si="9"/>
        <v>0.53156365557316421</v>
      </c>
      <c r="E73" s="5">
        <f t="shared" si="12"/>
        <v>0.54190795008677306</v>
      </c>
      <c r="F73" s="5">
        <f t="shared" si="13"/>
        <v>2.9512474664881893E-2</v>
      </c>
      <c r="G73" s="5">
        <f t="shared" si="10"/>
        <v>0.21677956391332187</v>
      </c>
      <c r="H73" s="5">
        <f t="shared" si="10"/>
        <v>0.18238895807388958</v>
      </c>
      <c r="I73" s="5">
        <f t="shared" si="10"/>
        <v>0.28794359949302911</v>
      </c>
      <c r="J73" s="5">
        <f t="shared" si="14"/>
        <v>0.22903737382674683</v>
      </c>
      <c r="K73" s="5">
        <f t="shared" si="15"/>
        <v>5.3834338569225967E-2</v>
      </c>
      <c r="L73" s="5">
        <f t="shared" si="11"/>
        <v>0.12145915678524374</v>
      </c>
      <c r="M73" s="5">
        <f t="shared" si="11"/>
        <v>9.1005744390491611E-2</v>
      </c>
      <c r="N73" s="5">
        <f t="shared" si="11"/>
        <v>0.12448420541627658</v>
      </c>
      <c r="O73" s="5">
        <f t="shared" si="16"/>
        <v>0.11231636886400398</v>
      </c>
      <c r="P73" s="5">
        <f t="shared" si="17"/>
        <v>1.8517417919173482E-2</v>
      </c>
      <c r="Q73" s="5"/>
    </row>
    <row r="74" spans="1:17" x14ac:dyDescent="0.35">
      <c r="A74" s="1" t="s">
        <v>9</v>
      </c>
      <c r="B74" s="5">
        <f t="shared" si="9"/>
        <v>1.4288735643970467</v>
      </c>
      <c r="C74" s="5">
        <f t="shared" si="9"/>
        <v>1.0882058970514743</v>
      </c>
      <c r="D74" s="5">
        <f t="shared" si="9"/>
        <v>1.2500000000000002</v>
      </c>
      <c r="E74" s="5">
        <f t="shared" si="12"/>
        <v>1.2556931538161737</v>
      </c>
      <c r="F74" s="5">
        <f t="shared" si="13"/>
        <v>0.17040517566655652</v>
      </c>
      <c r="G74" s="5">
        <f t="shared" si="10"/>
        <v>0.38943908357316176</v>
      </c>
      <c r="H74" s="5">
        <f t="shared" si="10"/>
        <v>0.45500084904058419</v>
      </c>
      <c r="I74" s="5">
        <f t="shared" si="10"/>
        <v>0.37544375076508757</v>
      </c>
      <c r="J74" s="5">
        <f t="shared" si="14"/>
        <v>0.40662789445961117</v>
      </c>
      <c r="K74" s="5">
        <f t="shared" si="15"/>
        <v>4.247263102601307E-2</v>
      </c>
      <c r="L74" s="5">
        <f t="shared" si="11"/>
        <v>0.16197506561679792</v>
      </c>
      <c r="M74" s="5">
        <f t="shared" si="11"/>
        <v>0.24388570746838464</v>
      </c>
      <c r="N74" s="5">
        <f t="shared" si="11"/>
        <v>0.18747126436781608</v>
      </c>
      <c r="O74" s="5">
        <f t="shared" si="16"/>
        <v>0.19777734581766623</v>
      </c>
      <c r="P74" s="5">
        <f t="shared" si="17"/>
        <v>4.1916581423977424E-2</v>
      </c>
      <c r="Q74" s="5"/>
    </row>
    <row r="75" spans="1:17" x14ac:dyDescent="0.35">
      <c r="A75" s="1" t="s">
        <v>10</v>
      </c>
      <c r="B75" s="5">
        <f t="shared" si="9"/>
        <v>3.5630676522229208</v>
      </c>
      <c r="C75" s="5">
        <f t="shared" si="9"/>
        <v>1.8979357798165137</v>
      </c>
      <c r="D75" s="5">
        <f t="shared" si="9"/>
        <v>2.0152174646556666</v>
      </c>
      <c r="E75" s="5">
        <f t="shared" si="12"/>
        <v>2.4920736322317003</v>
      </c>
      <c r="F75" s="5">
        <f t="shared" si="13"/>
        <v>0.92935993648445692</v>
      </c>
      <c r="G75" s="5">
        <f t="shared" si="10"/>
        <v>1.43489808200539</v>
      </c>
      <c r="H75" s="5">
        <f t="shared" si="10"/>
        <v>1.4791925348985964</v>
      </c>
      <c r="I75" s="5">
        <f t="shared" si="10"/>
        <v>1.0590129095695753</v>
      </c>
      <c r="J75" s="5">
        <f t="shared" si="14"/>
        <v>1.324367842157854</v>
      </c>
      <c r="K75" s="5">
        <f t="shared" si="15"/>
        <v>0.23086885850191</v>
      </c>
      <c r="L75" s="5">
        <f t="shared" si="11"/>
        <v>0.33391727909759017</v>
      </c>
      <c r="M75" s="5">
        <f t="shared" si="11"/>
        <v>0.55852049514491142</v>
      </c>
      <c r="N75" s="5">
        <f t="shared" si="11"/>
        <v>0.49551860974274764</v>
      </c>
      <c r="O75" s="5">
        <f t="shared" si="16"/>
        <v>0.4626521279950831</v>
      </c>
      <c r="P75" s="5">
        <f t="shared" si="17"/>
        <v>0.11585251564619571</v>
      </c>
      <c r="Q75" s="5"/>
    </row>
    <row r="76" spans="1:17" x14ac:dyDescent="0.35">
      <c r="A76" s="1" t="s">
        <v>11</v>
      </c>
      <c r="B76" s="5">
        <f t="shared" si="9"/>
        <v>0.38613348708083767</v>
      </c>
      <c r="C76" s="5">
        <f t="shared" si="9"/>
        <v>0.41041024076647575</v>
      </c>
      <c r="D76" s="5">
        <f t="shared" si="9"/>
        <v>0.2419758468145565</v>
      </c>
      <c r="E76" s="5">
        <f t="shared" si="12"/>
        <v>0.34617319155395659</v>
      </c>
      <c r="F76" s="5">
        <f t="shared" si="13"/>
        <v>9.1050289293523698E-2</v>
      </c>
      <c r="G76" s="5">
        <f t="shared" si="10"/>
        <v>0.16570723684210528</v>
      </c>
      <c r="H76" s="5">
        <f t="shared" si="10"/>
        <v>0.21706661356168475</v>
      </c>
      <c r="I76" s="5">
        <f t="shared" si="10"/>
        <v>0.1980593512307974</v>
      </c>
      <c r="J76" s="5">
        <f t="shared" si="14"/>
        <v>0.19361106721152913</v>
      </c>
      <c r="K76" s="5">
        <f t="shared" si="15"/>
        <v>2.5967033278620402E-2</v>
      </c>
      <c r="L76" s="5">
        <f t="shared" si="11"/>
        <v>0.26034379113418943</v>
      </c>
      <c r="M76" s="5">
        <f t="shared" si="11"/>
        <v>0.11780184811211061</v>
      </c>
      <c r="N76" s="5">
        <f t="shared" si="11"/>
        <v>0.17068828671719544</v>
      </c>
      <c r="O76" s="5">
        <f t="shared" si="16"/>
        <v>0.18294464198783186</v>
      </c>
      <c r="P76" s="5">
        <f t="shared" si="17"/>
        <v>7.2057026468745025E-2</v>
      </c>
      <c r="Q76" s="5"/>
    </row>
    <row r="77" spans="1:17" x14ac:dyDescent="0.35">
      <c r="A77" s="1" t="s">
        <v>14</v>
      </c>
      <c r="B77" s="5" t="e">
        <f>B29/(B45*2)</f>
        <v>#VALUE!</v>
      </c>
      <c r="C77" s="5" t="e">
        <f t="shared" si="9"/>
        <v>#VALUE!</v>
      </c>
      <c r="D77" s="5" t="e">
        <f t="shared" si="9"/>
        <v>#VALUE!</v>
      </c>
      <c r="E77" s="5" t="e">
        <f t="shared" si="12"/>
        <v>#VALUE!</v>
      </c>
      <c r="F77" s="5" t="e">
        <f t="shared" si="13"/>
        <v>#VALUE!</v>
      </c>
      <c r="G77" s="5">
        <f t="shared" si="10"/>
        <v>0.12100647640296243</v>
      </c>
      <c r="H77" s="5">
        <f t="shared" si="10"/>
        <v>0.12406898474529016</v>
      </c>
      <c r="I77" s="5">
        <f t="shared" si="10"/>
        <v>0.12033674836813213</v>
      </c>
      <c r="J77" s="5">
        <f t="shared" si="14"/>
        <v>0.1218040698387949</v>
      </c>
      <c r="K77" s="5">
        <f t="shared" si="15"/>
        <v>1.9898526479133344E-3</v>
      </c>
      <c r="L77" s="5">
        <f t="shared" si="11"/>
        <v>4.9972429004687069E-2</v>
      </c>
      <c r="M77" s="5">
        <f t="shared" si="11"/>
        <v>8.2121069920225262E-2</v>
      </c>
      <c r="N77" s="5">
        <f t="shared" si="11"/>
        <v>7.3506654286598569E-2</v>
      </c>
      <c r="O77" s="5">
        <f t="shared" si="16"/>
        <v>6.853338440383698E-2</v>
      </c>
      <c r="P77" s="5">
        <f t="shared" si="17"/>
        <v>1.6641329218969846E-2</v>
      </c>
      <c r="Q77" s="5"/>
    </row>
    <row r="78" spans="1:17" x14ac:dyDescent="0.35">
      <c r="A78" s="1" t="s">
        <v>12</v>
      </c>
      <c r="B78" s="5">
        <f t="shared" si="9"/>
        <v>1.6589194287254107E-2</v>
      </c>
      <c r="C78" s="5">
        <f t="shared" si="9"/>
        <v>1.5166989177954563E-2</v>
      </c>
      <c r="D78" s="5">
        <f t="shared" si="9"/>
        <v>2.9471841260577763E-2</v>
      </c>
      <c r="E78" s="5">
        <f t="shared" si="12"/>
        <v>2.0409341575262144E-2</v>
      </c>
      <c r="F78" s="5">
        <f t="shared" si="13"/>
        <v>7.8805039339491945E-3</v>
      </c>
      <c r="G78" s="5">
        <f t="shared" si="10"/>
        <v>1.3107344632768364E-2</v>
      </c>
      <c r="H78" s="5">
        <f t="shared" si="10"/>
        <v>1.2549246515455435E-2</v>
      </c>
      <c r="I78" s="5">
        <f t="shared" si="10"/>
        <v>1.5260514217605997E-2</v>
      </c>
      <c r="J78" s="5">
        <f t="shared" si="14"/>
        <v>1.3639035121943267E-2</v>
      </c>
      <c r="K78" s="5">
        <f t="shared" si="15"/>
        <v>1.4316997661487833E-3</v>
      </c>
      <c r="L78" s="5">
        <f t="shared" si="11"/>
        <v>7.0017793594306056E-3</v>
      </c>
      <c r="M78" s="5">
        <f t="shared" si="11"/>
        <v>9.7020516366989416E-3</v>
      </c>
      <c r="N78" s="5">
        <f t="shared" si="11"/>
        <v>7.4180245423456056E-3</v>
      </c>
      <c r="O78" s="5">
        <f t="shared" si="16"/>
        <v>8.0406185128250509E-3</v>
      </c>
      <c r="P78" s="5">
        <f t="shared" si="17"/>
        <v>1.453817399780317E-3</v>
      </c>
      <c r="Q78" s="5"/>
    </row>
    <row r="79" spans="1:17" x14ac:dyDescent="0.35">
      <c r="A79" s="1" t="s">
        <v>0</v>
      </c>
      <c r="B79" s="5">
        <f t="shared" si="9"/>
        <v>0.11135349025974024</v>
      </c>
      <c r="C79" s="5">
        <f t="shared" si="9"/>
        <v>0.1305797675647121</v>
      </c>
      <c r="D79" s="5">
        <f t="shared" si="9"/>
        <v>0.116183483935743</v>
      </c>
      <c r="E79" s="5">
        <f t="shared" si="12"/>
        <v>0.11937224725339846</v>
      </c>
      <c r="F79" s="5">
        <f t="shared" si="13"/>
        <v>1.0001929482551736E-2</v>
      </c>
      <c r="G79" s="5">
        <f t="shared" si="10"/>
        <v>5.8750270738574834E-2</v>
      </c>
      <c r="H79" s="5">
        <f t="shared" si="10"/>
        <v>6.4572673867727887E-2</v>
      </c>
      <c r="I79" s="5">
        <f t="shared" si="10"/>
        <v>7.3766747868453109E-2</v>
      </c>
      <c r="J79" s="5">
        <f t="shared" si="14"/>
        <v>6.5696564158251938E-2</v>
      </c>
      <c r="K79" s="5">
        <f t="shared" si="15"/>
        <v>7.5710628967728174E-3</v>
      </c>
      <c r="L79" s="5">
        <f t="shared" si="11"/>
        <v>1.5126084002717501E-2</v>
      </c>
      <c r="M79" s="5">
        <f t="shared" si="11"/>
        <v>3.0048415245172547E-2</v>
      </c>
      <c r="N79" s="5">
        <f t="shared" si="11"/>
        <v>2.7978478653386925E-2</v>
      </c>
      <c r="O79" s="5">
        <f t="shared" si="16"/>
        <v>2.4384325967092325E-2</v>
      </c>
      <c r="P79" s="5">
        <f t="shared" si="17"/>
        <v>8.0843950037517587E-3</v>
      </c>
      <c r="Q79" s="5"/>
    </row>
    <row r="80" spans="1:17" x14ac:dyDescent="0.35">
      <c r="A80" s="1" t="s">
        <v>1</v>
      </c>
      <c r="B80" s="5">
        <f t="shared" si="9"/>
        <v>7.8933369492656877E-2</v>
      </c>
      <c r="C80" s="5">
        <f t="shared" si="9"/>
        <v>0.12262310752854853</v>
      </c>
      <c r="D80" s="5">
        <f t="shared" si="9"/>
        <v>0.11610269157779383</v>
      </c>
      <c r="E80" s="5">
        <f>(B80+C80+D80)/3</f>
        <v>0.10588638953299974</v>
      </c>
      <c r="F80" s="5">
        <f>STDEV(B80:D80)</f>
        <v>2.3568579147119927E-2</v>
      </c>
      <c r="G80" s="5">
        <f t="shared" si="10"/>
        <v>6.2990918016691211E-2</v>
      </c>
      <c r="H80" s="5">
        <f t="shared" si="10"/>
        <v>4.9426229508196723E-2</v>
      </c>
      <c r="I80" s="5">
        <f t="shared" si="10"/>
        <v>3.325752653238033E-2</v>
      </c>
      <c r="J80" s="5">
        <f>(G80+H80+I80)/3</f>
        <v>4.8558224685756081E-2</v>
      </c>
      <c r="K80" s="5">
        <f>STDEV(G80:I80)</f>
        <v>1.4885688313566795E-2</v>
      </c>
      <c r="L80" s="5">
        <f t="shared" si="11"/>
        <v>3.2127913927077104E-2</v>
      </c>
      <c r="M80" s="5">
        <f t="shared" si="11"/>
        <v>4.2626728110599088E-2</v>
      </c>
      <c r="N80" s="5">
        <f t="shared" si="11"/>
        <v>6.1354166666666668E-2</v>
      </c>
      <c r="O80" s="5">
        <f>(L80+M80+N80)/3</f>
        <v>4.536960290144762E-2</v>
      </c>
      <c r="P80" s="5">
        <f>STDEV(L80:N80)</f>
        <v>1.4804931066651263E-2</v>
      </c>
      <c r="Q80" s="5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</sheetData>
  <phoneticPr fontId="9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8"/>
  <sheetViews>
    <sheetView tabSelected="1" zoomScaleNormal="100" workbookViewId="0">
      <selection activeCell="J8" sqref="J8"/>
    </sheetView>
  </sheetViews>
  <sheetFormatPr defaultColWidth="8.765625" defaultRowHeight="14.15" x14ac:dyDescent="0.35"/>
  <cols>
    <col min="1" max="1" width="17.3828125" style="2" bestFit="1" customWidth="1"/>
    <col min="2" max="5" width="9.3828125" style="11" bestFit="1" customWidth="1"/>
    <col min="6" max="15" width="8.84375" style="11" bestFit="1" customWidth="1"/>
    <col min="16" max="17" width="8.765625" style="11"/>
    <col min="18" max="16384" width="8.765625" style="2"/>
  </cols>
  <sheetData>
    <row r="1" spans="1:15" x14ac:dyDescent="0.35">
      <c r="A1" s="3" t="s">
        <v>18</v>
      </c>
      <c r="D1" s="15" t="s">
        <v>35</v>
      </c>
    </row>
    <row r="2" spans="1:15" x14ac:dyDescent="0.35">
      <c r="A2" s="2" t="s">
        <v>13</v>
      </c>
      <c r="B2" s="12" t="s">
        <v>32</v>
      </c>
      <c r="C2" s="12" t="s">
        <v>33</v>
      </c>
      <c r="D2" s="12" t="s">
        <v>34</v>
      </c>
      <c r="E2" s="12" t="s">
        <v>15</v>
      </c>
      <c r="F2" s="13" t="s">
        <v>21</v>
      </c>
      <c r="G2" s="13" t="s">
        <v>22</v>
      </c>
      <c r="H2" s="13" t="s">
        <v>23</v>
      </c>
      <c r="I2" s="13" t="s">
        <v>15</v>
      </c>
      <c r="J2" s="13" t="s">
        <v>16</v>
      </c>
      <c r="K2" s="13" t="s">
        <v>24</v>
      </c>
      <c r="L2" s="13" t="s">
        <v>25</v>
      </c>
      <c r="M2" s="13" t="s">
        <v>26</v>
      </c>
      <c r="N2" s="13" t="s">
        <v>15</v>
      </c>
      <c r="O2" s="13" t="s">
        <v>16</v>
      </c>
    </row>
    <row r="3" spans="1:15" x14ac:dyDescent="0.35">
      <c r="A3" s="2" t="s">
        <v>2</v>
      </c>
      <c r="B3" s="11">
        <v>48.19444444444445</v>
      </c>
      <c r="C3" s="11">
        <v>51</v>
      </c>
      <c r="D3" s="11">
        <v>66.666666666666671</v>
      </c>
      <c r="E3" s="11">
        <v>55.287037037037003</v>
      </c>
      <c r="F3" s="11">
        <v>40.227272727272727</v>
      </c>
      <c r="G3" s="11">
        <v>37.297297297297298</v>
      </c>
      <c r="H3" s="11">
        <v>45.38461538461538</v>
      </c>
      <c r="I3" s="11">
        <v>40.969728469728466</v>
      </c>
      <c r="J3" s="11">
        <v>4.094460753077831</v>
      </c>
      <c r="K3" s="11">
        <v>23.499999999999996</v>
      </c>
      <c r="L3" s="11">
        <v>26</v>
      </c>
      <c r="M3" s="11">
        <v>17.608695652173914</v>
      </c>
      <c r="N3" s="11">
        <v>22.369565217391301</v>
      </c>
      <c r="O3" s="11">
        <v>4.308353428255403</v>
      </c>
    </row>
    <row r="4" spans="1:15" x14ac:dyDescent="0.35">
      <c r="A4" s="2" t="s">
        <v>3</v>
      </c>
      <c r="B4" s="11">
        <v>22.611111111111107</v>
      </c>
      <c r="C4" s="11">
        <v>14.114285714285714</v>
      </c>
      <c r="D4" s="11">
        <v>18.059523809523807</v>
      </c>
      <c r="E4" s="11">
        <v>18.261640211640209</v>
      </c>
      <c r="F4" s="11">
        <v>17.102272727272727</v>
      </c>
      <c r="G4" s="11">
        <v>23.743243243243246</v>
      </c>
      <c r="H4" s="11">
        <v>20.435897435897438</v>
      </c>
      <c r="I4" s="11">
        <v>20.427137802137803</v>
      </c>
      <c r="J4" s="11">
        <v>3.3204939236332138</v>
      </c>
      <c r="K4" s="11">
        <v>44</v>
      </c>
      <c r="L4" s="11">
        <v>35.96</v>
      </c>
      <c r="M4" s="11">
        <v>26.989130434782609</v>
      </c>
      <c r="N4" s="11">
        <v>35.649710144927539</v>
      </c>
      <c r="O4" s="11">
        <v>8.5096786476829198</v>
      </c>
    </row>
    <row r="5" spans="1:15" x14ac:dyDescent="0.35">
      <c r="A5" s="2" t="s">
        <v>4</v>
      </c>
      <c r="B5" s="11">
        <v>2079.5833333333335</v>
      </c>
      <c r="C5" s="11">
        <v>1333.7142857142858</v>
      </c>
      <c r="D5" s="11">
        <v>2145.2380952380954</v>
      </c>
      <c r="E5" s="11">
        <v>1852.8452380952383</v>
      </c>
      <c r="F5" s="11">
        <v>768.75</v>
      </c>
      <c r="G5" s="11">
        <v>968.64864864864876</v>
      </c>
      <c r="H5" s="11">
        <v>843.71794871794873</v>
      </c>
      <c r="I5" s="11">
        <v>860.37219912219916</v>
      </c>
      <c r="J5" s="11">
        <v>100.98460514001422</v>
      </c>
      <c r="K5" s="11">
        <v>501.49999999999994</v>
      </c>
      <c r="L5" s="11">
        <v>420.4</v>
      </c>
      <c r="M5" s="11">
        <v>351.19565217391306</v>
      </c>
      <c r="N5" s="11">
        <v>424.36521739130427</v>
      </c>
      <c r="O5" s="11">
        <v>75.230588563273784</v>
      </c>
    </row>
    <row r="6" spans="1:15" x14ac:dyDescent="0.35">
      <c r="A6" s="2" t="s">
        <v>5</v>
      </c>
      <c r="B6" s="11">
        <v>19.347222222222221</v>
      </c>
      <c r="C6" s="11">
        <v>9.257142857142858</v>
      </c>
      <c r="D6" s="11">
        <v>16.023809523809526</v>
      </c>
      <c r="E6" s="11">
        <v>14.876058201058202</v>
      </c>
      <c r="F6" s="11">
        <v>17.5</v>
      </c>
      <c r="G6" s="11">
        <v>21.756756756756758</v>
      </c>
      <c r="H6" s="11">
        <v>18.564102564102566</v>
      </c>
      <c r="I6" s="11">
        <v>19.273619773619775</v>
      </c>
      <c r="J6" s="11">
        <v>2.2153003237708861</v>
      </c>
      <c r="K6" s="11">
        <v>30.149999999999995</v>
      </c>
      <c r="L6" s="11">
        <v>22.72</v>
      </c>
      <c r="M6" s="11">
        <v>19.641304347826086</v>
      </c>
      <c r="N6" s="11">
        <v>24.170434782608691</v>
      </c>
      <c r="O6" s="11">
        <v>5.4024061187082131</v>
      </c>
    </row>
    <row r="7" spans="1:15" x14ac:dyDescent="0.35">
      <c r="A7" s="2" t="s">
        <v>6</v>
      </c>
      <c r="B7" s="11">
        <v>40.722222222222221</v>
      </c>
      <c r="C7" s="11">
        <v>22.771428571428576</v>
      </c>
      <c r="D7" s="11">
        <v>33.976190476190474</v>
      </c>
      <c r="E7" s="11">
        <v>32.489947089947094</v>
      </c>
      <c r="F7" s="11">
        <v>34.295454545454547</v>
      </c>
      <c r="G7" s="11">
        <v>44.418918918918919</v>
      </c>
      <c r="H7" s="11">
        <v>39.564102564102562</v>
      </c>
      <c r="I7" s="11">
        <v>39.426158676158678</v>
      </c>
      <c r="J7" s="11">
        <v>5.0631417240055461</v>
      </c>
      <c r="K7" s="11">
        <v>75.7</v>
      </c>
      <c r="L7" s="11">
        <v>68.56</v>
      </c>
      <c r="M7" s="11">
        <v>45.54347826086957</v>
      </c>
      <c r="N7" s="11">
        <v>63.267826086956518</v>
      </c>
      <c r="O7" s="11">
        <v>15.759418751815927</v>
      </c>
    </row>
    <row r="8" spans="1:15" x14ac:dyDescent="0.35">
      <c r="A8" s="2" t="s">
        <v>7</v>
      </c>
      <c r="B8" s="11">
        <v>1022.7777777777778</v>
      </c>
      <c r="C8" s="11">
        <v>584.10714285714289</v>
      </c>
      <c r="D8" s="11">
        <v>805.00000000000011</v>
      </c>
      <c r="E8" s="11">
        <v>803.96164021164032</v>
      </c>
      <c r="F8" s="11">
        <v>286.13636363636363</v>
      </c>
      <c r="G8" s="11">
        <v>409.86486486486478</v>
      </c>
      <c r="H8" s="11">
        <v>385.25641025641022</v>
      </c>
      <c r="I8" s="11">
        <v>360.4192129192129</v>
      </c>
      <c r="J8" s="11">
        <v>65.49694865211606</v>
      </c>
      <c r="K8" s="11">
        <v>82.674999999999997</v>
      </c>
      <c r="L8" s="11">
        <v>95.54</v>
      </c>
      <c r="M8" s="11">
        <v>50.717391304347828</v>
      </c>
      <c r="N8" s="11">
        <v>76.310797101449282</v>
      </c>
      <c r="O8" s="11">
        <v>23.079078652999332</v>
      </c>
    </row>
    <row r="9" spans="1:15" x14ac:dyDescent="0.35">
      <c r="A9" s="2" t="s">
        <v>8</v>
      </c>
      <c r="B9" s="11">
        <v>53.996805555555561</v>
      </c>
      <c r="C9" s="11">
        <v>32.180714285714288</v>
      </c>
      <c r="D9" s="11">
        <v>43.571428571428577</v>
      </c>
      <c r="E9" s="11">
        <v>43.249649470899477</v>
      </c>
      <c r="F9" s="11">
        <v>12.329545454545453</v>
      </c>
      <c r="G9" s="11">
        <v>23.418918918918923</v>
      </c>
      <c r="H9" s="11">
        <v>21.53846153846154</v>
      </c>
      <c r="I9" s="11">
        <v>19.095641970641971</v>
      </c>
      <c r="J9" s="11">
        <v>5.9345662468944846</v>
      </c>
      <c r="K9" s="11">
        <v>13.8415</v>
      </c>
      <c r="L9" s="11">
        <v>9.3999999999999986</v>
      </c>
      <c r="M9" s="11">
        <v>6.9565217391304346</v>
      </c>
      <c r="N9" s="11">
        <v>10.066007246376811</v>
      </c>
      <c r="O9" s="11">
        <v>3.4904735570308265</v>
      </c>
    </row>
    <row r="10" spans="1:15" x14ac:dyDescent="0.35">
      <c r="A10" s="2" t="s">
        <v>9</v>
      </c>
      <c r="B10" s="11">
        <v>103.31944444444444</v>
      </c>
      <c r="C10" s="11">
        <v>58.671428571428578</v>
      </c>
      <c r="D10" s="11">
        <v>80.285714285714292</v>
      </c>
      <c r="E10" s="11">
        <v>80.758862433862433</v>
      </c>
      <c r="F10" s="11">
        <v>20.88636363636364</v>
      </c>
      <c r="G10" s="11">
        <v>30.22972972972973</v>
      </c>
      <c r="H10" s="11">
        <v>28.910256410256405</v>
      </c>
      <c r="I10" s="11">
        <v>26.675449925449925</v>
      </c>
      <c r="J10" s="11">
        <v>5.0567175625167593</v>
      </c>
      <c r="K10" s="11">
        <v>18.099999999999998</v>
      </c>
      <c r="L10" s="11">
        <v>17.04</v>
      </c>
      <c r="M10" s="11">
        <v>13.510869565217392</v>
      </c>
      <c r="N10" s="11">
        <v>16.216956521739132</v>
      </c>
      <c r="O10" s="11">
        <v>2.4027234468812164</v>
      </c>
    </row>
    <row r="11" spans="1:15" x14ac:dyDescent="0.35">
      <c r="A11" s="2" t="s">
        <v>10</v>
      </c>
      <c r="B11" s="11">
        <v>7.9055555555555559</v>
      </c>
      <c r="C11" s="11">
        <v>8.7071428571428591</v>
      </c>
      <c r="D11" s="11">
        <v>8.0535714285714288</v>
      </c>
      <c r="E11" s="11">
        <v>8.2220899470899482</v>
      </c>
      <c r="F11" s="11">
        <v>8.3954545454545446</v>
      </c>
      <c r="G11" s="11">
        <v>11.797297297297298</v>
      </c>
      <c r="H11" s="11">
        <v>9.5371794871794862</v>
      </c>
      <c r="I11" s="11">
        <v>9.9099771099771097</v>
      </c>
      <c r="J11" s="11">
        <v>1.7312905815428312</v>
      </c>
      <c r="K11" s="11">
        <v>24.712499999999999</v>
      </c>
      <c r="L11" s="11">
        <v>20.6</v>
      </c>
      <c r="M11" s="11">
        <v>16.932608695652174</v>
      </c>
      <c r="N11" s="11">
        <v>20.748369565217391</v>
      </c>
      <c r="O11" s="11">
        <v>3.8920672299921502</v>
      </c>
    </row>
    <row r="12" spans="1:15" x14ac:dyDescent="0.35">
      <c r="A12" s="2" t="s">
        <v>11</v>
      </c>
      <c r="B12" s="11">
        <v>43.597222222222221</v>
      </c>
      <c r="C12" s="11">
        <v>31.964285714285715</v>
      </c>
      <c r="D12" s="11">
        <v>27.785714285714288</v>
      </c>
      <c r="E12" s="11">
        <v>34.449074074074076</v>
      </c>
      <c r="F12" s="11">
        <v>20.454545454545453</v>
      </c>
      <c r="G12" s="11">
        <v>36.337837837837839</v>
      </c>
      <c r="H12" s="11">
        <v>23.807692307692307</v>
      </c>
      <c r="I12" s="11">
        <v>26.866691866691866</v>
      </c>
      <c r="J12" s="11">
        <v>8.3718488376079776</v>
      </c>
      <c r="K12" s="11">
        <v>37.4</v>
      </c>
      <c r="L12" s="11">
        <v>38.42</v>
      </c>
      <c r="M12" s="11">
        <v>21.673913043478262</v>
      </c>
      <c r="N12" s="11">
        <v>32.497971014492755</v>
      </c>
      <c r="O12" s="11">
        <v>9.3877725377169057</v>
      </c>
    </row>
    <row r="13" spans="1:15" x14ac:dyDescent="0.35">
      <c r="A13" s="2" t="s">
        <v>14</v>
      </c>
      <c r="B13" s="11">
        <v>2.9263888888888894</v>
      </c>
      <c r="C13" s="11">
        <v>1.9164285714285714</v>
      </c>
      <c r="D13" s="11">
        <v>3.3595238095238096</v>
      </c>
      <c r="E13" s="11">
        <v>2.7341137566137568</v>
      </c>
      <c r="F13" s="11">
        <v>3.2556818181818179</v>
      </c>
      <c r="G13" s="11">
        <v>3.9121621621621618</v>
      </c>
      <c r="H13" s="11">
        <v>3.1961538461538459</v>
      </c>
      <c r="I13" s="11">
        <v>3.454665942165942</v>
      </c>
      <c r="J13" s="11">
        <v>0.39731975579696893</v>
      </c>
      <c r="K13" s="11">
        <v>11.397499999999999</v>
      </c>
      <c r="L13" s="11">
        <v>9.6319999999999997</v>
      </c>
      <c r="M13" s="11">
        <v>4.6184782608695647</v>
      </c>
      <c r="N13" s="11">
        <v>8.5493260869565209</v>
      </c>
      <c r="O13" s="11">
        <v>3.5168055158608631</v>
      </c>
    </row>
    <row r="14" spans="1:15" x14ac:dyDescent="0.35">
      <c r="A14" s="2" t="s">
        <v>12</v>
      </c>
      <c r="B14" s="11">
        <v>6.0763888888888893</v>
      </c>
      <c r="C14" s="11">
        <v>4.1414285714285715</v>
      </c>
      <c r="D14" s="11">
        <v>6.0047619047619047</v>
      </c>
      <c r="E14" s="11">
        <v>5.4075264550264555</v>
      </c>
      <c r="F14" s="11">
        <v>6.057954545454546</v>
      </c>
      <c r="G14" s="11">
        <v>6.2256756756756761</v>
      </c>
      <c r="H14" s="11">
        <v>5.5487179487179485</v>
      </c>
      <c r="I14" s="11">
        <v>5.9441160566160569</v>
      </c>
      <c r="J14" s="11">
        <v>0.35254409962119126</v>
      </c>
      <c r="K14" s="11">
        <v>11.665000000000001</v>
      </c>
      <c r="L14" s="11">
        <v>10.286</v>
      </c>
      <c r="M14" s="11">
        <v>5.4826086956521731</v>
      </c>
      <c r="N14" s="11">
        <v>9.1445362318840591</v>
      </c>
      <c r="O14" s="11">
        <v>3.2454114085058579</v>
      </c>
    </row>
    <row r="15" spans="1:15" x14ac:dyDescent="0.35">
      <c r="A15" s="2" t="s">
        <v>0</v>
      </c>
      <c r="B15" s="11">
        <v>8.0736111111111128</v>
      </c>
      <c r="C15" s="11">
        <v>3.7357142857142862</v>
      </c>
      <c r="D15" s="11">
        <v>5.0095238095238095</v>
      </c>
      <c r="E15" s="11">
        <v>5.6062830687830685</v>
      </c>
      <c r="F15" s="11">
        <v>4.4761363636363631</v>
      </c>
      <c r="G15" s="11">
        <v>4.8</v>
      </c>
      <c r="H15" s="11">
        <v>4.824358974358975</v>
      </c>
      <c r="I15" s="11">
        <v>4.7001651126651121</v>
      </c>
      <c r="J15" s="11">
        <v>0.19439650254440055</v>
      </c>
      <c r="K15" s="11">
        <v>8.06</v>
      </c>
      <c r="L15" s="11">
        <v>6.3180000000000005</v>
      </c>
      <c r="M15" s="11">
        <v>3.6739130434782612</v>
      </c>
      <c r="N15" s="11">
        <v>6.0173043478260873</v>
      </c>
      <c r="O15" s="11">
        <v>2.2084503852180508</v>
      </c>
    </row>
    <row r="16" spans="1:15" x14ac:dyDescent="0.35">
      <c r="A16" s="2" t="s">
        <v>1</v>
      </c>
      <c r="B16" s="11">
        <v>93.0555555555556</v>
      </c>
      <c r="C16" s="11">
        <v>49.057142857142864</v>
      </c>
      <c r="D16" s="11">
        <v>69.678571428571431</v>
      </c>
      <c r="E16" s="11">
        <v>70.597089947089955</v>
      </c>
      <c r="F16" s="11">
        <v>40.44318181818182</v>
      </c>
      <c r="G16" s="11">
        <v>57.135135135135137</v>
      </c>
      <c r="H16" s="11">
        <v>45.692307692307693</v>
      </c>
      <c r="I16" s="11">
        <v>47.756874881874886</v>
      </c>
      <c r="J16" s="11">
        <v>8.5353473651641831</v>
      </c>
      <c r="K16" s="11">
        <v>39.874999999999993</v>
      </c>
      <c r="L16" s="11">
        <v>33.020000000000003</v>
      </c>
      <c r="M16" s="11">
        <v>21.25</v>
      </c>
      <c r="N16" s="11">
        <v>31.381666666666664</v>
      </c>
      <c r="O16" s="11">
        <v>9.4199659411981678</v>
      </c>
    </row>
    <row r="17" spans="1:15" x14ac:dyDescent="0.35">
      <c r="A17" s="3" t="s">
        <v>19</v>
      </c>
    </row>
    <row r="18" spans="1:15" x14ac:dyDescent="0.35">
      <c r="A18" s="2" t="s">
        <v>13</v>
      </c>
      <c r="B18" s="12" t="s">
        <v>32</v>
      </c>
      <c r="C18" s="12" t="s">
        <v>33</v>
      </c>
      <c r="D18" s="12" t="s">
        <v>34</v>
      </c>
      <c r="E18" s="12" t="s">
        <v>15</v>
      </c>
      <c r="F18" s="13" t="s">
        <v>21</v>
      </c>
      <c r="G18" s="13" t="s">
        <v>22</v>
      </c>
      <c r="H18" s="13" t="s">
        <v>23</v>
      </c>
      <c r="I18" s="13" t="s">
        <v>15</v>
      </c>
      <c r="J18" s="13" t="s">
        <v>16</v>
      </c>
      <c r="K18" s="13" t="s">
        <v>24</v>
      </c>
      <c r="L18" s="13" t="s">
        <v>25</v>
      </c>
      <c r="M18" s="13" t="s">
        <v>26</v>
      </c>
      <c r="N18" s="13" t="s">
        <v>15</v>
      </c>
      <c r="O18" s="13" t="s">
        <v>16</v>
      </c>
    </row>
    <row r="19" spans="1:15" x14ac:dyDescent="0.35">
      <c r="A19" s="2" t="s">
        <v>2</v>
      </c>
      <c r="B19" s="11">
        <v>39.140624999999993</v>
      </c>
      <c r="C19" s="11">
        <v>51.75</v>
      </c>
      <c r="D19" s="11">
        <v>48.666666666666664</v>
      </c>
      <c r="E19" s="11">
        <v>46.519097222222221</v>
      </c>
      <c r="F19" s="11">
        <v>30.583333333333336</v>
      </c>
      <c r="G19" s="11">
        <v>25.75</v>
      </c>
      <c r="H19" s="11">
        <v>41.500000000000007</v>
      </c>
      <c r="I19" s="11">
        <v>32.611111111111114</v>
      </c>
      <c r="J19" s="11">
        <v>8.0684284118430991</v>
      </c>
      <c r="K19" s="11">
        <v>15.416666666666668</v>
      </c>
      <c r="L19" s="11">
        <v>21.166666666666668</v>
      </c>
      <c r="M19" s="11">
        <v>12.750000000000002</v>
      </c>
      <c r="N19" s="11">
        <v>16.444444444444446</v>
      </c>
      <c r="O19" s="11">
        <v>4.3014317168606588</v>
      </c>
    </row>
    <row r="20" spans="1:15" x14ac:dyDescent="0.35">
      <c r="A20" s="2" t="s">
        <v>3</v>
      </c>
      <c r="B20" s="11">
        <v>153.3046875</v>
      </c>
      <c r="C20" s="11">
        <v>212.22499999999999</v>
      </c>
      <c r="D20" s="11">
        <v>146.125</v>
      </c>
      <c r="E20" s="11">
        <v>170.55156250000002</v>
      </c>
      <c r="F20" s="11">
        <v>350.58333333333331</v>
      </c>
      <c r="G20" s="11">
        <v>296.125</v>
      </c>
      <c r="H20" s="11">
        <v>320.25</v>
      </c>
      <c r="I20" s="11">
        <v>322.3194444444444</v>
      </c>
      <c r="J20" s="11">
        <v>27.28808288598875</v>
      </c>
      <c r="K20" s="11">
        <v>380</v>
      </c>
      <c r="L20" s="11">
        <v>481.00000000000006</v>
      </c>
      <c r="M20" s="11">
        <v>335.16666666666669</v>
      </c>
      <c r="N20" s="11">
        <v>398.72222222222223</v>
      </c>
      <c r="O20" s="11">
        <v>74.697600239107146</v>
      </c>
    </row>
    <row r="21" spans="1:15" x14ac:dyDescent="0.35">
      <c r="A21" s="2" t="s">
        <v>4</v>
      </c>
      <c r="B21" s="11">
        <v>17742.1875</v>
      </c>
      <c r="C21" s="11">
        <v>15975</v>
      </c>
      <c r="D21" s="11">
        <v>16866.666666666668</v>
      </c>
      <c r="E21" s="11">
        <v>16861.284722222223</v>
      </c>
      <c r="F21" s="11">
        <v>7922.5</v>
      </c>
      <c r="G21" s="11">
        <v>6472.5</v>
      </c>
      <c r="H21" s="11">
        <v>6616.666666666667</v>
      </c>
      <c r="I21" s="11">
        <v>7003.8888888888896</v>
      </c>
      <c r="J21" s="11">
        <v>798.79959128497114</v>
      </c>
      <c r="K21" s="11">
        <v>3406.666666666667</v>
      </c>
      <c r="L21" s="11">
        <v>4263.3333333333339</v>
      </c>
      <c r="M21" s="11">
        <v>4419.166666666667</v>
      </c>
      <c r="N21" s="11">
        <v>4029.7222222222226</v>
      </c>
      <c r="O21" s="11">
        <v>545.1785725117245</v>
      </c>
    </row>
    <row r="22" spans="1:15" x14ac:dyDescent="0.35">
      <c r="A22" s="2" t="s">
        <v>5</v>
      </c>
      <c r="B22" s="11">
        <v>14.937499999999998</v>
      </c>
      <c r="C22" s="11">
        <v>12</v>
      </c>
      <c r="D22" s="11">
        <v>10.633333333333333</v>
      </c>
      <c r="E22" s="11">
        <v>12.52361111111111</v>
      </c>
      <c r="F22" s="11">
        <v>12.441666666666668</v>
      </c>
      <c r="G22" s="11">
        <v>12.45</v>
      </c>
      <c r="H22" s="11">
        <v>14.700000000000001</v>
      </c>
      <c r="I22" s="11">
        <v>13.197222222222223</v>
      </c>
      <c r="J22" s="11">
        <v>1.3014504017242259</v>
      </c>
      <c r="K22" s="11">
        <v>15.485000000000001</v>
      </c>
      <c r="L22" s="11">
        <v>13.547499999999999</v>
      </c>
      <c r="M22" s="11">
        <v>17.119166666666668</v>
      </c>
      <c r="N22" s="11">
        <v>15.38388888888889</v>
      </c>
      <c r="O22" s="11">
        <v>1.7879788273458501</v>
      </c>
    </row>
    <row r="23" spans="1:15" x14ac:dyDescent="0.35">
      <c r="A23" s="2" t="s">
        <v>6</v>
      </c>
      <c r="B23" s="11">
        <v>34.25</v>
      </c>
      <c r="C23" s="11">
        <v>25.225000000000005</v>
      </c>
      <c r="D23" s="11">
        <v>28.366666666666667</v>
      </c>
      <c r="E23" s="11">
        <v>29.280555555555555</v>
      </c>
      <c r="F23" s="11">
        <v>26.824999999999999</v>
      </c>
      <c r="G23" s="11">
        <v>32.733333333333334</v>
      </c>
      <c r="H23" s="11">
        <v>41.2</v>
      </c>
      <c r="I23" s="11">
        <v>33.586111111111116</v>
      </c>
      <c r="J23" s="11">
        <v>7.2253428087325648</v>
      </c>
      <c r="K23" s="11">
        <v>39.516666666666673</v>
      </c>
      <c r="L23" s="11">
        <v>38.041666666666671</v>
      </c>
      <c r="M23" s="11">
        <v>41.4</v>
      </c>
      <c r="N23" s="11">
        <v>39.652777777777779</v>
      </c>
      <c r="O23" s="11">
        <v>1.6832989545444266</v>
      </c>
    </row>
    <row r="24" spans="1:15" x14ac:dyDescent="0.35">
      <c r="A24" s="2" t="s">
        <v>7</v>
      </c>
      <c r="B24" s="11">
        <v>3480.46875</v>
      </c>
      <c r="C24" s="11">
        <v>3208.3333333333335</v>
      </c>
      <c r="D24" s="11">
        <v>3143.3333333333335</v>
      </c>
      <c r="E24" s="11">
        <v>3277.3784722222226</v>
      </c>
      <c r="F24" s="11">
        <v>1796.6666666666667</v>
      </c>
      <c r="G24" s="11">
        <v>1309.1666666666667</v>
      </c>
      <c r="H24" s="11">
        <v>1780.8333333333335</v>
      </c>
      <c r="I24" s="11">
        <v>1628.8888888888889</v>
      </c>
      <c r="J24" s="11">
        <v>277.00071867803496</v>
      </c>
      <c r="K24" s="11">
        <v>246.91666666666669</v>
      </c>
      <c r="L24" s="11">
        <v>292.25</v>
      </c>
      <c r="M24" s="11">
        <v>333.75</v>
      </c>
      <c r="N24" s="11">
        <v>290.97222222222223</v>
      </c>
      <c r="O24" s="11">
        <v>43.430766531129287</v>
      </c>
    </row>
    <row r="25" spans="1:15" x14ac:dyDescent="0.35">
      <c r="A25" s="2" t="s">
        <v>8</v>
      </c>
      <c r="B25" s="11">
        <v>66.375</v>
      </c>
      <c r="C25" s="11">
        <v>88.166666666666671</v>
      </c>
      <c r="D25" s="11">
        <v>93.916666666666657</v>
      </c>
      <c r="E25" s="11">
        <v>82.819444444444443</v>
      </c>
      <c r="F25" s="11">
        <v>42.883333333333333</v>
      </c>
      <c r="G25" s="11">
        <v>41.008333333333333</v>
      </c>
      <c r="H25" s="11">
        <v>60.583333333333329</v>
      </c>
      <c r="I25" s="11">
        <v>48.158333333333331</v>
      </c>
      <c r="J25" s="11">
        <v>10.801128413272377</v>
      </c>
      <c r="K25" s="11">
        <v>24.583333333333336</v>
      </c>
      <c r="L25" s="11">
        <v>19.116666666666667</v>
      </c>
      <c r="M25" s="11">
        <v>23.933333333333334</v>
      </c>
      <c r="N25" s="11">
        <v>22.544444444444448</v>
      </c>
      <c r="O25" s="11">
        <v>2.9862803569608696</v>
      </c>
    </row>
    <row r="26" spans="1:15" x14ac:dyDescent="0.35">
      <c r="A26" s="2" t="s">
        <v>9</v>
      </c>
      <c r="B26" s="11">
        <v>348.359375</v>
      </c>
      <c r="C26" s="11">
        <v>290.33333333333337</v>
      </c>
      <c r="D26" s="11">
        <v>308.50000000000006</v>
      </c>
      <c r="E26" s="11">
        <v>315.73090277777783</v>
      </c>
      <c r="F26" s="11">
        <v>92.016666666666666</v>
      </c>
      <c r="G26" s="11">
        <v>89.316666666666677</v>
      </c>
      <c r="H26" s="11">
        <v>102.23333333333335</v>
      </c>
      <c r="I26" s="11">
        <v>94.52222222222224</v>
      </c>
      <c r="J26" s="11">
        <v>6.8131069216566669</v>
      </c>
      <c r="K26" s="11">
        <v>41.141666666666673</v>
      </c>
      <c r="L26" s="11">
        <v>68.141666666666666</v>
      </c>
      <c r="M26" s="11">
        <v>54.366666666666667</v>
      </c>
      <c r="N26" s="11">
        <v>54.550000000000004</v>
      </c>
      <c r="O26" s="11">
        <v>13.500933609692829</v>
      </c>
    </row>
    <row r="27" spans="1:15" x14ac:dyDescent="0.35">
      <c r="A27" s="2" t="s">
        <v>10</v>
      </c>
      <c r="B27" s="11">
        <v>32.875</v>
      </c>
      <c r="C27" s="11">
        <v>24.824999999999999</v>
      </c>
      <c r="D27" s="11">
        <v>19.908333333333331</v>
      </c>
      <c r="E27" s="11">
        <v>25.869444444444444</v>
      </c>
      <c r="F27" s="11">
        <v>36.55833333333333</v>
      </c>
      <c r="G27" s="11">
        <v>26.208333333333332</v>
      </c>
      <c r="H27" s="11">
        <v>22.258333333333333</v>
      </c>
      <c r="I27" s="11">
        <v>28.341666666666669</v>
      </c>
      <c r="J27" s="11">
        <v>7.3848380708945225</v>
      </c>
      <c r="K27" s="11">
        <v>39.075000000000003</v>
      </c>
      <c r="L27" s="11">
        <v>50.233333333333327</v>
      </c>
      <c r="M27" s="11">
        <v>48.283333333333331</v>
      </c>
      <c r="N27" s="11">
        <v>45.863888888888887</v>
      </c>
      <c r="O27" s="11">
        <v>5.9596463199805783</v>
      </c>
    </row>
    <row r="28" spans="1:15" x14ac:dyDescent="0.35">
      <c r="A28" s="2" t="s">
        <v>11</v>
      </c>
      <c r="B28" s="11">
        <v>35.328125</v>
      </c>
      <c r="C28" s="11">
        <v>24.216666666666669</v>
      </c>
      <c r="D28" s="11">
        <v>19.983333333333334</v>
      </c>
      <c r="E28" s="11">
        <v>26.509375000000002</v>
      </c>
      <c r="F28" s="11">
        <v>20.150000000000002</v>
      </c>
      <c r="G28" s="11">
        <v>21.8</v>
      </c>
      <c r="H28" s="11">
        <v>23.8</v>
      </c>
      <c r="I28" s="11">
        <v>21.916666666666668</v>
      </c>
      <c r="J28" s="11">
        <v>1.8277946638868741</v>
      </c>
      <c r="K28" s="11">
        <v>33.491666666666667</v>
      </c>
      <c r="L28" s="11">
        <v>16.68333333333333</v>
      </c>
      <c r="M28" s="11">
        <v>20.358333333333334</v>
      </c>
      <c r="N28" s="11">
        <v>23.511111111111109</v>
      </c>
      <c r="O28" s="11">
        <v>8.8365730432191949</v>
      </c>
    </row>
    <row r="29" spans="1:15" x14ac:dyDescent="0.35">
      <c r="A29" s="2" t="s">
        <v>14</v>
      </c>
      <c r="B29" s="11" t="s">
        <v>17</v>
      </c>
      <c r="C29" s="11" t="s">
        <v>17</v>
      </c>
      <c r="D29" s="11" t="s">
        <v>17</v>
      </c>
      <c r="E29" s="11" t="s">
        <v>17</v>
      </c>
      <c r="F29" s="11">
        <v>2.6033333333333335</v>
      </c>
      <c r="G29" s="11">
        <v>2.0766666666666667</v>
      </c>
      <c r="H29" s="11">
        <v>1.8558333333333337</v>
      </c>
      <c r="I29" s="11">
        <v>2.1786111111111111</v>
      </c>
      <c r="J29" s="11">
        <v>0.38403589000875377</v>
      </c>
      <c r="K29" s="11">
        <v>2.4166666666666665</v>
      </c>
      <c r="L29" s="11">
        <v>3.5000000000000004</v>
      </c>
      <c r="M29" s="11">
        <v>3.1666666666666665</v>
      </c>
      <c r="N29" s="11">
        <v>3.0277777777777781</v>
      </c>
      <c r="O29" s="11">
        <v>0.55486067653994775</v>
      </c>
    </row>
    <row r="30" spans="1:15" x14ac:dyDescent="0.35">
      <c r="A30" s="2" t="s">
        <v>12</v>
      </c>
      <c r="B30" s="11">
        <v>1.23125</v>
      </c>
      <c r="C30" s="11">
        <v>1.4108333333333334</v>
      </c>
      <c r="D30" s="11">
        <v>2.02</v>
      </c>
      <c r="E30" s="11">
        <v>1.5540277777777778</v>
      </c>
      <c r="F30" s="11">
        <v>1.9333333333333336</v>
      </c>
      <c r="G30" s="11">
        <v>1.6266333333333336</v>
      </c>
      <c r="H30" s="11">
        <v>1.7925000000000002</v>
      </c>
      <c r="I30" s="11">
        <v>1.7841555555555557</v>
      </c>
      <c r="J30" s="11">
        <v>0.15352017722376043</v>
      </c>
      <c r="K30" s="11">
        <v>1.9675000000000002</v>
      </c>
      <c r="L30" s="11">
        <v>2.8058333333333336</v>
      </c>
      <c r="M30" s="11">
        <v>2.2125000000000004</v>
      </c>
      <c r="N30" s="11">
        <v>2.3286111111111114</v>
      </c>
      <c r="O30" s="11">
        <v>0.43105920363337402</v>
      </c>
    </row>
    <row r="31" spans="1:15" x14ac:dyDescent="0.35">
      <c r="A31" s="2" t="s">
        <v>0</v>
      </c>
      <c r="B31" s="11">
        <v>3.7726562499999998</v>
      </c>
      <c r="C31" s="11">
        <v>3.2958333333333334</v>
      </c>
      <c r="D31" s="11">
        <v>3.0858333333333339</v>
      </c>
      <c r="E31" s="11">
        <v>3.3847743055555557</v>
      </c>
      <c r="F31" s="11">
        <v>1.8083333333333333</v>
      </c>
      <c r="G31" s="11">
        <v>2.2716666666666669</v>
      </c>
      <c r="H31" s="11">
        <v>2.4225000000000003</v>
      </c>
      <c r="I31" s="11">
        <v>2.1675</v>
      </c>
      <c r="J31" s="11">
        <v>0.32005967325554274</v>
      </c>
      <c r="K31" s="11">
        <v>2.5233333333333334</v>
      </c>
      <c r="L31" s="11">
        <v>3.5583333333333331</v>
      </c>
      <c r="M31" s="11">
        <v>3.2024166666666671</v>
      </c>
      <c r="N31" s="11">
        <v>3.0946944444444449</v>
      </c>
      <c r="O31" s="11">
        <v>0.52584152353191582</v>
      </c>
    </row>
    <row r="32" spans="1:15" x14ac:dyDescent="0.35">
      <c r="A32" s="2" t="s">
        <v>1</v>
      </c>
      <c r="B32" s="11">
        <v>23.648437500000004</v>
      </c>
      <c r="C32" s="11">
        <v>31.641666666666666</v>
      </c>
      <c r="D32" s="11">
        <v>28.958333333333336</v>
      </c>
      <c r="E32" s="11">
        <v>28.082812499999999</v>
      </c>
      <c r="F32" s="11">
        <v>17.108333333333334</v>
      </c>
      <c r="G32" s="11">
        <v>15.075000000000001</v>
      </c>
      <c r="H32" s="11">
        <v>10.236666666666666</v>
      </c>
      <c r="I32" s="11">
        <v>14.14</v>
      </c>
      <c r="J32" s="11">
        <v>3.5299602610290637</v>
      </c>
      <c r="K32" s="11">
        <v>10.75</v>
      </c>
      <c r="L32" s="11">
        <v>14.800000000000002</v>
      </c>
      <c r="M32" s="11">
        <v>19.633333333333333</v>
      </c>
      <c r="N32" s="11">
        <v>15.061111111111112</v>
      </c>
      <c r="O32" s="11">
        <v>4.4474191433950789</v>
      </c>
    </row>
    <row r="33" spans="1:15" x14ac:dyDescent="0.35">
      <c r="A33" s="3" t="s">
        <v>29</v>
      </c>
    </row>
    <row r="34" spans="1:15" x14ac:dyDescent="0.35">
      <c r="A34" s="2" t="s">
        <v>13</v>
      </c>
      <c r="B34" s="12" t="s">
        <v>32</v>
      </c>
      <c r="C34" s="12" t="s">
        <v>33</v>
      </c>
      <c r="D34" s="12" t="s">
        <v>34</v>
      </c>
      <c r="E34" s="12" t="s">
        <v>15</v>
      </c>
      <c r="F34" s="13" t="s">
        <v>21</v>
      </c>
      <c r="G34" s="13" t="s">
        <v>22</v>
      </c>
      <c r="H34" s="13" t="s">
        <v>23</v>
      </c>
      <c r="I34" s="13" t="s">
        <v>15</v>
      </c>
      <c r="J34" s="13" t="s">
        <v>16</v>
      </c>
      <c r="K34" s="13" t="s">
        <v>24</v>
      </c>
      <c r="L34" s="13" t="s">
        <v>25</v>
      </c>
      <c r="M34" s="13" t="s">
        <v>26</v>
      </c>
      <c r="N34" s="13" t="s">
        <v>15</v>
      </c>
      <c r="O34" s="13" t="s">
        <v>16</v>
      </c>
    </row>
    <row r="35" spans="1:15" x14ac:dyDescent="0.35">
      <c r="A35" s="1" t="s">
        <v>2</v>
      </c>
      <c r="B35" s="14">
        <v>3.3885999999999998</v>
      </c>
      <c r="C35" s="14">
        <v>4.2380000000000004</v>
      </c>
      <c r="D35" s="14">
        <v>2.4687999999999999</v>
      </c>
      <c r="E35" s="14">
        <f>(B35+C35+D35)*2/3</f>
        <v>6.7302666666666662</v>
      </c>
      <c r="F35" s="14">
        <v>3.2650000000000001</v>
      </c>
      <c r="G35" s="14">
        <v>2.625</v>
      </c>
      <c r="H35" s="14">
        <v>2.9670000000000001</v>
      </c>
      <c r="I35" s="14">
        <f>(F35+G35+H35)*2/3</f>
        <v>5.9046666666666674</v>
      </c>
      <c r="J35" s="14">
        <f>STDEV(F35:H35)*2</f>
        <v>0.64050396824167566</v>
      </c>
      <c r="K35" s="14">
        <v>1.2273000000000001</v>
      </c>
      <c r="L35" s="14">
        <v>1.4302999999999999</v>
      </c>
      <c r="M35" s="14">
        <v>1.605</v>
      </c>
      <c r="N35" s="14">
        <f>(K35+L35+M35)*2/3</f>
        <v>2.8417333333333334</v>
      </c>
      <c r="O35" s="14">
        <f>STDEV(K35:M35)*2</f>
        <v>0.37805324140037727</v>
      </c>
    </row>
    <row r="36" spans="1:15" x14ac:dyDescent="0.35">
      <c r="A36" s="1" t="s">
        <v>3</v>
      </c>
      <c r="B36" s="14">
        <v>1.3755999999999999</v>
      </c>
      <c r="C36" s="14">
        <v>1.4460999999999999</v>
      </c>
      <c r="D36" s="14">
        <v>1.5783</v>
      </c>
      <c r="E36" s="14">
        <f t="shared" ref="E36:E47" si="0">(B36+C36+D36)*2/3</f>
        <v>2.9333333333333336</v>
      </c>
      <c r="F36" s="14">
        <v>1.4910000000000001</v>
      </c>
      <c r="G36" s="14">
        <v>1.675</v>
      </c>
      <c r="H36" s="14">
        <v>1.867</v>
      </c>
      <c r="I36" s="14">
        <f t="shared" ref="I36:I47" si="1">(F36+G36+H36)*2/3</f>
        <v>3.3553333333333337</v>
      </c>
      <c r="J36" s="14">
        <f t="shared" ref="J36:J47" si="2">STDEV(F36:H36)*2</f>
        <v>0.37602836772420944</v>
      </c>
      <c r="K36" s="14">
        <v>2.5409999999999999</v>
      </c>
      <c r="L36" s="14">
        <v>2.4500000000000002</v>
      </c>
      <c r="M36" s="14">
        <v>2.3809999999999998</v>
      </c>
      <c r="N36" s="14">
        <f t="shared" ref="N36:N47" si="3">(K36+L36+M36)*2/3</f>
        <v>4.9146666666666663</v>
      </c>
      <c r="O36" s="14">
        <f t="shared" ref="O36:O47" si="4">STDEV(K36:M36)*2</f>
        <v>0.16050337483471608</v>
      </c>
    </row>
    <row r="37" spans="1:15" x14ac:dyDescent="0.35">
      <c r="A37" s="1" t="s">
        <v>4</v>
      </c>
      <c r="B37" s="14">
        <v>71.239999999999995</v>
      </c>
      <c r="C37" s="14">
        <v>57.95</v>
      </c>
      <c r="D37" s="14">
        <v>63.5</v>
      </c>
      <c r="E37" s="14">
        <f t="shared" si="0"/>
        <v>128.46</v>
      </c>
      <c r="F37" s="14">
        <v>34.71</v>
      </c>
      <c r="G37" s="14">
        <v>31.07</v>
      </c>
      <c r="H37" s="14">
        <v>32.56</v>
      </c>
      <c r="I37" s="14">
        <f t="shared" si="1"/>
        <v>65.56</v>
      </c>
      <c r="J37" s="14">
        <f t="shared" si="2"/>
        <v>3.6598907087507411</v>
      </c>
      <c r="K37" s="14">
        <v>15.72</v>
      </c>
      <c r="L37" s="14">
        <v>12.53</v>
      </c>
      <c r="M37" s="14">
        <v>10.952999999999999</v>
      </c>
      <c r="N37" s="14">
        <f t="shared" si="3"/>
        <v>26.135333333333335</v>
      </c>
      <c r="O37" s="14">
        <f t="shared" si="4"/>
        <v>4.8571128598513118</v>
      </c>
    </row>
    <row r="38" spans="1:15" x14ac:dyDescent="0.35">
      <c r="A38" s="1" t="s">
        <v>5</v>
      </c>
      <c r="B38" s="14">
        <v>3.871</v>
      </c>
      <c r="C38" s="14">
        <v>3.4950000000000001</v>
      </c>
      <c r="D38" s="14">
        <v>4.4359999999999999</v>
      </c>
      <c r="E38" s="14">
        <f t="shared" si="0"/>
        <v>7.8679999999999994</v>
      </c>
      <c r="F38" s="14">
        <v>4.5039999999999996</v>
      </c>
      <c r="G38" s="14">
        <v>4.9080000000000004</v>
      </c>
      <c r="H38" s="14">
        <v>6.0250000000000004</v>
      </c>
      <c r="I38" s="14">
        <f t="shared" si="1"/>
        <v>10.291333333333332</v>
      </c>
      <c r="J38" s="14">
        <f t="shared" si="2"/>
        <v>1.5757212105360963</v>
      </c>
      <c r="K38" s="14">
        <v>7.2729999999999997</v>
      </c>
      <c r="L38" s="14">
        <v>5.0629999999999997</v>
      </c>
      <c r="M38" s="14">
        <v>6.28</v>
      </c>
      <c r="N38" s="14">
        <f t="shared" si="3"/>
        <v>12.410666666666666</v>
      </c>
      <c r="O38" s="14">
        <f t="shared" si="4"/>
        <v>2.2137807780657348</v>
      </c>
    </row>
    <row r="39" spans="1:15" x14ac:dyDescent="0.35">
      <c r="A39" s="1" t="s">
        <v>6</v>
      </c>
      <c r="B39" s="14">
        <v>6.2270000000000003</v>
      </c>
      <c r="C39" s="14">
        <v>5.5529999999999999</v>
      </c>
      <c r="D39" s="14">
        <v>7.0940000000000003</v>
      </c>
      <c r="E39" s="14">
        <f t="shared" si="0"/>
        <v>12.582666666666668</v>
      </c>
      <c r="F39" s="14">
        <v>4.7140000000000004</v>
      </c>
      <c r="G39" s="14">
        <v>7.617</v>
      </c>
      <c r="H39" s="14">
        <v>8.2159999999999993</v>
      </c>
      <c r="I39" s="14">
        <f t="shared" si="1"/>
        <v>13.697999999999999</v>
      </c>
      <c r="J39" s="14">
        <f t="shared" si="2"/>
        <v>3.7461281344876616</v>
      </c>
      <c r="K39" s="14">
        <v>11.297000000000001</v>
      </c>
      <c r="L39" s="14">
        <v>8.2469999999999999</v>
      </c>
      <c r="M39" s="14">
        <v>9.6170000000000009</v>
      </c>
      <c r="N39" s="14">
        <f t="shared" si="3"/>
        <v>19.440666666666669</v>
      </c>
      <c r="O39" s="14">
        <f t="shared" si="4"/>
        <v>3.0552468530927737</v>
      </c>
    </row>
    <row r="40" spans="1:15" x14ac:dyDescent="0.35">
      <c r="A40" s="1" t="s">
        <v>7</v>
      </c>
      <c r="B40" s="14">
        <v>27.85</v>
      </c>
      <c r="C40" s="14">
        <v>18.992000000000001</v>
      </c>
      <c r="D40" s="14">
        <v>24.53</v>
      </c>
      <c r="E40" s="14">
        <f t="shared" si="0"/>
        <v>47.581333333333333</v>
      </c>
      <c r="F40" s="14">
        <v>12.17</v>
      </c>
      <c r="G40" s="14">
        <v>9.8940000000000001</v>
      </c>
      <c r="H40" s="14">
        <v>12.16</v>
      </c>
      <c r="I40" s="14">
        <f t="shared" si="1"/>
        <v>22.816000000000003</v>
      </c>
      <c r="J40" s="14">
        <f t="shared" si="2"/>
        <v>2.6223439896398029</v>
      </c>
      <c r="K40" s="14">
        <v>2.1190000000000002</v>
      </c>
      <c r="L40" s="14">
        <v>1.7231000000000001</v>
      </c>
      <c r="M40" s="14">
        <v>1.4219999999999999</v>
      </c>
      <c r="N40" s="14">
        <f>(K40+L40+M40)*2/3</f>
        <v>3.5093999999999999</v>
      </c>
      <c r="O40" s="14">
        <f t="shared" si="4"/>
        <v>0.699145678667902</v>
      </c>
    </row>
    <row r="41" spans="1:15" x14ac:dyDescent="0.35">
      <c r="A41" s="1" t="s">
        <v>8</v>
      </c>
      <c r="B41" s="14">
        <v>8.2100000000000009</v>
      </c>
      <c r="C41" s="14">
        <v>5.0279999999999996</v>
      </c>
      <c r="D41" s="14">
        <v>6.1909999999999998</v>
      </c>
      <c r="E41" s="14">
        <f t="shared" si="0"/>
        <v>12.952666666666666</v>
      </c>
      <c r="F41" s="14">
        <v>2.31</v>
      </c>
      <c r="G41" s="14">
        <v>3.5179999999999998</v>
      </c>
      <c r="H41" s="14">
        <v>3.3690000000000002</v>
      </c>
      <c r="I41" s="14">
        <f t="shared" si="1"/>
        <v>6.1313333333333331</v>
      </c>
      <c r="J41" s="14">
        <f t="shared" si="2"/>
        <v>1.3173068485866695</v>
      </c>
      <c r="K41" s="14">
        <v>1.35022</v>
      </c>
      <c r="L41" s="14">
        <v>1.1155999999999999</v>
      </c>
      <c r="M41" s="14">
        <v>1.4437</v>
      </c>
      <c r="N41" s="14">
        <f t="shared" si="3"/>
        <v>2.6063466666666666</v>
      </c>
      <c r="O41" s="14">
        <f t="shared" si="4"/>
        <v>0.33806770998327368</v>
      </c>
    </row>
    <row r="42" spans="1:15" ht="14.6" customHeight="1" x14ac:dyDescent="0.35">
      <c r="A42" s="1" t="s">
        <v>9</v>
      </c>
      <c r="B42" s="14">
        <v>4.1239999999999997</v>
      </c>
      <c r="C42" s="14">
        <v>4.9400000000000004</v>
      </c>
      <c r="D42" s="14">
        <v>3.1640000000000001</v>
      </c>
      <c r="E42" s="14">
        <f t="shared" si="0"/>
        <v>8.1519999999999992</v>
      </c>
      <c r="F42" s="14">
        <v>1.72942</v>
      </c>
      <c r="G42" s="14">
        <v>1.5178</v>
      </c>
      <c r="H42" s="14">
        <v>2.0167000000000002</v>
      </c>
      <c r="I42" s="14">
        <v>3.5092800000000004</v>
      </c>
      <c r="J42" s="14">
        <v>0.50080870120235943</v>
      </c>
      <c r="K42" s="14">
        <v>1.1689000000000001</v>
      </c>
      <c r="L42" s="14">
        <v>1.1343000000000001</v>
      </c>
      <c r="M42" s="14">
        <v>1.1283000000000001</v>
      </c>
      <c r="N42" s="14">
        <f t="shared" si="3"/>
        <v>2.287666666666667</v>
      </c>
      <c r="O42" s="14">
        <f t="shared" si="4"/>
        <v>4.3829366106907477E-2</v>
      </c>
    </row>
    <row r="43" spans="1:15" x14ac:dyDescent="0.35">
      <c r="A43" s="1" t="s">
        <v>10</v>
      </c>
      <c r="B43" s="14">
        <v>3.1429999999999998</v>
      </c>
      <c r="C43" s="14">
        <v>2.5499999999999998</v>
      </c>
      <c r="D43" s="14">
        <v>3.7</v>
      </c>
      <c r="E43" s="14">
        <f t="shared" si="0"/>
        <v>6.2620000000000005</v>
      </c>
      <c r="F43" s="14">
        <v>4.22</v>
      </c>
      <c r="G43" s="14">
        <v>3.27</v>
      </c>
      <c r="H43" s="14">
        <v>5.3810000000000002</v>
      </c>
      <c r="I43" s="14">
        <f t="shared" si="1"/>
        <v>8.5806666666666676</v>
      </c>
      <c r="J43" s="14">
        <f t="shared" si="2"/>
        <v>2.1145120792592653</v>
      </c>
      <c r="K43" s="14">
        <v>11.69</v>
      </c>
      <c r="L43" s="14">
        <v>9.14</v>
      </c>
      <c r="M43" s="14">
        <v>8.3000000000000007</v>
      </c>
      <c r="N43" s="14">
        <f t="shared" si="3"/>
        <v>19.419999999999998</v>
      </c>
      <c r="O43" s="14">
        <f t="shared" si="4"/>
        <v>3.5308355951530843</v>
      </c>
    </row>
    <row r="44" spans="1:15" x14ac:dyDescent="0.35">
      <c r="A44" s="1" t="s">
        <v>11</v>
      </c>
      <c r="B44" s="14">
        <v>2.0112000000000001</v>
      </c>
      <c r="C44" s="14">
        <v>3.14</v>
      </c>
      <c r="D44" s="14">
        <v>1.823</v>
      </c>
      <c r="E44" s="14">
        <f t="shared" si="0"/>
        <v>4.6494666666666662</v>
      </c>
      <c r="F44" s="14">
        <v>1.7269000000000001</v>
      </c>
      <c r="G44" s="14">
        <v>1.9721</v>
      </c>
      <c r="H44" s="14">
        <v>2.5619999999999998</v>
      </c>
      <c r="I44" s="14">
        <f t="shared" si="1"/>
        <v>4.1739999999999995</v>
      </c>
      <c r="J44" s="14">
        <f t="shared" si="2"/>
        <v>0.85848589970948663</v>
      </c>
      <c r="K44" s="14">
        <v>2.71</v>
      </c>
      <c r="L44" s="14">
        <v>1.81</v>
      </c>
      <c r="M44" s="14">
        <v>2.06</v>
      </c>
      <c r="N44" s="14">
        <f t="shared" si="3"/>
        <v>4.3866666666666667</v>
      </c>
      <c r="O44" s="14">
        <f t="shared" si="4"/>
        <v>0.92915732431775877</v>
      </c>
    </row>
    <row r="45" spans="1:15" x14ac:dyDescent="0.35">
      <c r="A45" s="1" t="s">
        <v>14</v>
      </c>
      <c r="B45" s="14">
        <v>1.33</v>
      </c>
      <c r="C45" s="14">
        <v>1.47</v>
      </c>
      <c r="D45" s="14">
        <v>1.82</v>
      </c>
      <c r="E45" s="14">
        <f t="shared" si="0"/>
        <v>3.08</v>
      </c>
      <c r="F45" s="14">
        <v>1.44</v>
      </c>
      <c r="G45" s="14">
        <v>1.7529999999999999</v>
      </c>
      <c r="H45" s="14">
        <v>2.2799999999999998</v>
      </c>
      <c r="I45" s="14">
        <f t="shared" si="1"/>
        <v>3.6486666666666658</v>
      </c>
      <c r="J45" s="14">
        <f t="shared" si="2"/>
        <v>0.84903788686568016</v>
      </c>
      <c r="K45" s="14">
        <v>4.0750000000000002</v>
      </c>
      <c r="L45" s="14">
        <v>5.2130000000000001</v>
      </c>
      <c r="M45" s="14">
        <v>3.1160000000000001</v>
      </c>
      <c r="N45" s="14">
        <f t="shared" si="3"/>
        <v>8.2693333333333339</v>
      </c>
      <c r="O45" s="14">
        <f t="shared" si="4"/>
        <v>2.0995450300799305</v>
      </c>
    </row>
    <row r="46" spans="1:15" x14ac:dyDescent="0.35">
      <c r="A46" s="1" t="s">
        <v>12</v>
      </c>
      <c r="B46" s="14">
        <v>5.54</v>
      </c>
      <c r="C46" s="14">
        <v>7.6</v>
      </c>
      <c r="D46" s="14">
        <v>4.6986999999999997</v>
      </c>
      <c r="E46" s="14">
        <f t="shared" si="0"/>
        <v>11.892466666666666</v>
      </c>
      <c r="F46" s="14">
        <v>8.57</v>
      </c>
      <c r="G46" s="14">
        <v>6.84</v>
      </c>
      <c r="H46" s="14">
        <v>5.0909300000000002</v>
      </c>
      <c r="I46" s="14">
        <f t="shared" si="1"/>
        <v>13.667286666666667</v>
      </c>
      <c r="J46" s="14">
        <f t="shared" si="2"/>
        <v>3.4790874215134813</v>
      </c>
      <c r="K46" s="14">
        <v>8.3800000000000008</v>
      </c>
      <c r="L46" s="14">
        <v>14.08</v>
      </c>
      <c r="M46" s="14">
        <v>11.41</v>
      </c>
      <c r="N46" s="14">
        <f t="shared" si="3"/>
        <v>22.580000000000002</v>
      </c>
      <c r="O46" s="14">
        <f t="shared" si="4"/>
        <v>5.7037882148620964</v>
      </c>
    </row>
    <row r="47" spans="1:15" x14ac:dyDescent="0.35">
      <c r="A47" s="1" t="s">
        <v>0</v>
      </c>
      <c r="B47" s="14">
        <v>0.4763</v>
      </c>
      <c r="C47" s="14">
        <v>0.34610000000000002</v>
      </c>
      <c r="D47" s="14">
        <v>0.3634</v>
      </c>
      <c r="E47" s="14">
        <f t="shared" si="0"/>
        <v>0.79053333333333331</v>
      </c>
      <c r="F47" s="14">
        <v>0.31680000000000003</v>
      </c>
      <c r="G47" s="14">
        <v>0.21929999999999999</v>
      </c>
      <c r="H47" s="14">
        <v>0.27289999999999998</v>
      </c>
      <c r="I47" s="14">
        <f t="shared" si="1"/>
        <v>0.53933333333333333</v>
      </c>
      <c r="J47" s="14">
        <f t="shared" si="2"/>
        <v>9.7660705165042799E-2</v>
      </c>
      <c r="K47" s="14">
        <v>0.32</v>
      </c>
      <c r="L47" s="14">
        <v>0.4</v>
      </c>
      <c r="M47" s="14">
        <v>0.51</v>
      </c>
      <c r="N47" s="14">
        <f t="shared" si="3"/>
        <v>0.82</v>
      </c>
      <c r="O47" s="14">
        <f t="shared" si="4"/>
        <v>0.1907878402833891</v>
      </c>
    </row>
    <row r="48" spans="1:15" x14ac:dyDescent="0.35">
      <c r="A48" s="1" t="s">
        <v>1</v>
      </c>
      <c r="B48" s="14">
        <v>0.72140000000000004</v>
      </c>
      <c r="C48" s="14">
        <v>0.66559999999999997</v>
      </c>
      <c r="D48" s="14">
        <v>0.76729999999999998</v>
      </c>
      <c r="E48" s="14">
        <f>(B48+C48+D48)*2/3</f>
        <v>1.4362000000000001</v>
      </c>
      <c r="F48" s="14">
        <v>0.51539999999999997</v>
      </c>
      <c r="G48" s="14">
        <v>0.53690000000000004</v>
      </c>
      <c r="H48" s="14">
        <v>0.56569999999999998</v>
      </c>
      <c r="I48" s="14">
        <f>(F48+G48+H48)*2/3</f>
        <v>1.0786666666666667</v>
      </c>
      <c r="J48" s="14">
        <f>STDEV(F48:H48)*2</f>
        <v>5.0476265049360911E-2</v>
      </c>
      <c r="K48" s="14">
        <v>0.39600000000000002</v>
      </c>
      <c r="L48" s="14">
        <v>0.255</v>
      </c>
      <c r="M48" s="14">
        <v>0.3</v>
      </c>
      <c r="N48" s="14">
        <f>(K48+L48+M48)*2/3</f>
        <v>0.63400000000000001</v>
      </c>
      <c r="O48" s="14">
        <f>STDEV(K48:M48)*2</f>
        <v>0.14404166064024668</v>
      </c>
    </row>
    <row r="49" spans="1:15" x14ac:dyDescent="0.35">
      <c r="A49" s="4" t="s">
        <v>27</v>
      </c>
    </row>
    <row r="50" spans="1:15" x14ac:dyDescent="0.35">
      <c r="A50" s="2" t="s">
        <v>13</v>
      </c>
      <c r="B50" s="12" t="s">
        <v>32</v>
      </c>
      <c r="C50" s="12" t="s">
        <v>33</v>
      </c>
      <c r="D50" s="12" t="s">
        <v>34</v>
      </c>
      <c r="E50" s="12" t="s">
        <v>15</v>
      </c>
      <c r="F50" s="13" t="s">
        <v>21</v>
      </c>
      <c r="G50" s="13" t="s">
        <v>22</v>
      </c>
      <c r="H50" s="13" t="s">
        <v>23</v>
      </c>
      <c r="I50" s="13" t="s">
        <v>15</v>
      </c>
      <c r="J50" s="13" t="s">
        <v>16</v>
      </c>
      <c r="K50" s="13" t="s">
        <v>24</v>
      </c>
      <c r="L50" s="13" t="s">
        <v>25</v>
      </c>
      <c r="M50" s="13" t="s">
        <v>26</v>
      </c>
      <c r="N50" s="13" t="s">
        <v>15</v>
      </c>
      <c r="O50" s="13" t="s">
        <v>16</v>
      </c>
    </row>
    <row r="51" spans="1:15" x14ac:dyDescent="0.35">
      <c r="A51" s="1" t="s">
        <v>2</v>
      </c>
      <c r="B51" s="11">
        <f t="shared" ref="B51:D64" si="5">B3/(B35*2)</f>
        <v>7.1112619436410984</v>
      </c>
      <c r="C51" s="11">
        <f t="shared" si="5"/>
        <v>6.0169891458235014</v>
      </c>
      <c r="D51" s="11">
        <f t="shared" si="5"/>
        <v>13.501836249729966</v>
      </c>
      <c r="E51" s="11">
        <f>(B51+C51+D51)/3</f>
        <v>8.8766957797315218</v>
      </c>
      <c r="F51" s="11">
        <f t="shared" ref="F51:H64" si="6">F3/(F35*2)</f>
        <v>6.1603786718641231</v>
      </c>
      <c r="G51" s="11">
        <f t="shared" si="6"/>
        <v>7.1042471042471043</v>
      </c>
      <c r="H51" s="11">
        <f t="shared" si="6"/>
        <v>7.6482331285162415</v>
      </c>
      <c r="I51" s="11">
        <f>(F51+G51+H51)/3</f>
        <v>6.9709529682091569</v>
      </c>
      <c r="J51" s="11">
        <f>STDEV(F51:H51)</f>
        <v>0.75283013759510831</v>
      </c>
      <c r="K51" s="11">
        <f t="shared" ref="K51:M64" si="7">K3/(K35*2)</f>
        <v>9.5738613216002584</v>
      </c>
      <c r="L51" s="11">
        <f t="shared" si="7"/>
        <v>9.0890023072082791</v>
      </c>
      <c r="M51" s="11">
        <f t="shared" si="7"/>
        <v>5.4855749695245839</v>
      </c>
      <c r="N51" s="11">
        <f>(K51+L51+M51)/3</f>
        <v>8.049479532777708</v>
      </c>
      <c r="O51" s="11">
        <f>STDEV(K51:M51)</f>
        <v>2.2336018049468742</v>
      </c>
    </row>
    <row r="52" spans="1:15" x14ac:dyDescent="0.35">
      <c r="A52" s="1" t="s">
        <v>3</v>
      </c>
      <c r="B52" s="11">
        <f t="shared" si="5"/>
        <v>8.2186359083712954</v>
      </c>
      <c r="C52" s="11">
        <f t="shared" si="5"/>
        <v>4.880120916356308</v>
      </c>
      <c r="D52" s="11">
        <f t="shared" si="5"/>
        <v>5.7211948962566703</v>
      </c>
      <c r="E52" s="11">
        <f t="shared" ref="E52:E63" si="8">(B52+C52+D52)/3</f>
        <v>6.2733172403280912</v>
      </c>
      <c r="F52" s="11">
        <f t="shared" si="6"/>
        <v>5.7351685872812626</v>
      </c>
      <c r="G52" s="11">
        <f t="shared" si="6"/>
        <v>7.0875352964905209</v>
      </c>
      <c r="H52" s="11">
        <f t="shared" si="6"/>
        <v>5.4729237910812634</v>
      </c>
      <c r="I52" s="11">
        <f t="shared" ref="I52:I64" si="9">(F52+G52+H52)/3</f>
        <v>6.0985425582843495</v>
      </c>
      <c r="J52" s="11">
        <f t="shared" ref="J52:J64" si="10">STDEV(F52:H52)</f>
        <v>0.86647161549118179</v>
      </c>
      <c r="K52" s="11">
        <f t="shared" si="7"/>
        <v>8.6580086580086579</v>
      </c>
      <c r="L52" s="11">
        <f t="shared" si="7"/>
        <v>7.3387755102040817</v>
      </c>
      <c r="M52" s="11">
        <f t="shared" si="7"/>
        <v>5.6676040392235638</v>
      </c>
      <c r="N52" s="11">
        <f t="shared" ref="N52:N64" si="11">(K52+L52+M52)/3</f>
        <v>7.2214627358121009</v>
      </c>
      <c r="O52" s="11">
        <f t="shared" ref="O52:O64" si="12">STDEV(K52:M52)</f>
        <v>1.4986499462147482</v>
      </c>
    </row>
    <row r="53" spans="1:15" x14ac:dyDescent="0.35">
      <c r="A53" s="1" t="s">
        <v>4</v>
      </c>
      <c r="B53" s="11">
        <f t="shared" si="5"/>
        <v>14.59561575893693</v>
      </c>
      <c r="C53" s="11">
        <f t="shared" si="5"/>
        <v>11.507457167508937</v>
      </c>
      <c r="D53" s="11">
        <f t="shared" si="5"/>
        <v>16.891638545181852</v>
      </c>
      <c r="E53" s="11">
        <f t="shared" si="8"/>
        <v>14.331570490542575</v>
      </c>
      <c r="F53" s="11">
        <f t="shared" si="6"/>
        <v>11.073898012100258</v>
      </c>
      <c r="G53" s="11">
        <f t="shared" si="6"/>
        <v>15.58816621578128</v>
      </c>
      <c r="H53" s="11">
        <f t="shared" si="6"/>
        <v>12.956356706356706</v>
      </c>
      <c r="I53" s="11">
        <f t="shared" si="9"/>
        <v>13.206140311412748</v>
      </c>
      <c r="J53" s="11">
        <f t="shared" si="10"/>
        <v>2.2674761830518664</v>
      </c>
      <c r="K53" s="11">
        <f t="shared" si="7"/>
        <v>15.951017811704832</v>
      </c>
      <c r="L53" s="11">
        <f t="shared" si="7"/>
        <v>16.775738228252195</v>
      </c>
      <c r="M53" s="11">
        <f t="shared" si="7"/>
        <v>16.03193883748348</v>
      </c>
      <c r="N53" s="11">
        <f t="shared" si="11"/>
        <v>16.252898292480168</v>
      </c>
      <c r="O53" s="11">
        <f t="shared" si="12"/>
        <v>0.45459680149758996</v>
      </c>
    </row>
    <row r="54" spans="1:15" x14ac:dyDescent="0.35">
      <c r="A54" s="1" t="s">
        <v>5</v>
      </c>
      <c r="B54" s="11">
        <f t="shared" si="5"/>
        <v>2.4989953787422139</v>
      </c>
      <c r="C54" s="11">
        <f t="shared" si="5"/>
        <v>1.3243408951563458</v>
      </c>
      <c r="D54" s="11">
        <f t="shared" si="5"/>
        <v>1.8061101807720386</v>
      </c>
      <c r="E54" s="11">
        <f t="shared" si="8"/>
        <v>1.8764821515568659</v>
      </c>
      <c r="F54" s="11">
        <f t="shared" si="6"/>
        <v>1.9427175843694495</v>
      </c>
      <c r="G54" s="11">
        <f t="shared" si="6"/>
        <v>2.2164585123020331</v>
      </c>
      <c r="H54" s="11">
        <f t="shared" si="6"/>
        <v>1.5405894244068519</v>
      </c>
      <c r="I54" s="11">
        <f t="shared" si="9"/>
        <v>1.8999218403594449</v>
      </c>
      <c r="J54" s="11">
        <f t="shared" si="10"/>
        <v>0.33996082534917699</v>
      </c>
      <c r="K54" s="11">
        <f t="shared" si="7"/>
        <v>2.072734772446033</v>
      </c>
      <c r="L54" s="11">
        <f t="shared" si="7"/>
        <v>2.2437290144183293</v>
      </c>
      <c r="M54" s="11">
        <f t="shared" si="7"/>
        <v>1.5637981168651343</v>
      </c>
      <c r="N54" s="11">
        <f t="shared" si="11"/>
        <v>1.9600873012431659</v>
      </c>
      <c r="O54" s="11">
        <f t="shared" si="12"/>
        <v>0.35368573047010821</v>
      </c>
    </row>
    <row r="55" spans="1:15" x14ac:dyDescent="0.35">
      <c r="A55" s="1" t="s">
        <v>6</v>
      </c>
      <c r="B55" s="11">
        <f t="shared" si="5"/>
        <v>3.2698106810841674</v>
      </c>
      <c r="C55" s="11">
        <f t="shared" si="5"/>
        <v>2.0503717424300896</v>
      </c>
      <c r="D55" s="11">
        <f t="shared" si="5"/>
        <v>2.3947131714258862</v>
      </c>
      <c r="E55" s="11">
        <f t="shared" si="8"/>
        <v>2.571631864980048</v>
      </c>
      <c r="F55" s="11">
        <f t="shared" si="6"/>
        <v>3.6376171558606858</v>
      </c>
      <c r="G55" s="11">
        <f t="shared" si="6"/>
        <v>2.9157751686306237</v>
      </c>
      <c r="H55" s="11">
        <f t="shared" si="6"/>
        <v>2.4077472349137392</v>
      </c>
      <c r="I55" s="11">
        <f t="shared" si="9"/>
        <v>2.9870465198016825</v>
      </c>
      <c r="J55" s="11">
        <f t="shared" si="10"/>
        <v>0.61802484556514736</v>
      </c>
      <c r="K55" s="11">
        <f t="shared" si="7"/>
        <v>3.350447021333097</v>
      </c>
      <c r="L55" s="11">
        <f t="shared" si="7"/>
        <v>4.1566630289802351</v>
      </c>
      <c r="M55" s="11">
        <f t="shared" si="7"/>
        <v>2.3678630685696977</v>
      </c>
      <c r="N55" s="11">
        <f t="shared" si="11"/>
        <v>3.2916577062943433</v>
      </c>
      <c r="O55" s="11">
        <f t="shared" si="12"/>
        <v>0.89584790129978364</v>
      </c>
    </row>
    <row r="56" spans="1:15" x14ac:dyDescent="0.35">
      <c r="A56" s="1" t="s">
        <v>7</v>
      </c>
      <c r="B56" s="11">
        <f t="shared" si="5"/>
        <v>18.362258128864951</v>
      </c>
      <c r="C56" s="11">
        <f t="shared" si="5"/>
        <v>15.377715429052834</v>
      </c>
      <c r="D56" s="11">
        <f t="shared" si="5"/>
        <v>16.408479412963718</v>
      </c>
      <c r="E56" s="11">
        <f t="shared" si="8"/>
        <v>16.716150990293837</v>
      </c>
      <c r="F56" s="11">
        <f t="shared" si="6"/>
        <v>11.755807873309926</v>
      </c>
      <c r="G56" s="11">
        <f t="shared" si="6"/>
        <v>20.712798911707338</v>
      </c>
      <c r="H56" s="11">
        <f t="shared" si="6"/>
        <v>15.841135290148447</v>
      </c>
      <c r="I56" s="11">
        <f t="shared" si="9"/>
        <v>16.103247358388572</v>
      </c>
      <c r="J56" s="11">
        <f t="shared" si="10"/>
        <v>4.4842445481619988</v>
      </c>
      <c r="K56" s="11">
        <f t="shared" si="7"/>
        <v>19.50802265219443</v>
      </c>
      <c r="L56" s="11">
        <f t="shared" si="7"/>
        <v>27.72328942023098</v>
      </c>
      <c r="M56" s="11">
        <f t="shared" si="7"/>
        <v>17.833119305326242</v>
      </c>
      <c r="N56" s="11">
        <f t="shared" si="11"/>
        <v>21.688143792583883</v>
      </c>
      <c r="O56" s="11">
        <f t="shared" si="12"/>
        <v>5.293256310204403</v>
      </c>
    </row>
    <row r="57" spans="1:15" x14ac:dyDescent="0.35">
      <c r="A57" s="1" t="s">
        <v>8</v>
      </c>
      <c r="B57" s="11">
        <f t="shared" si="5"/>
        <v>3.2884778048450398</v>
      </c>
      <c r="C57" s="11">
        <f t="shared" si="5"/>
        <v>3.2001505852937839</v>
      </c>
      <c r="D57" s="11">
        <f t="shared" si="5"/>
        <v>3.5189330133604084</v>
      </c>
      <c r="E57" s="11">
        <f t="shared" si="8"/>
        <v>3.3358538011664103</v>
      </c>
      <c r="F57" s="11">
        <f t="shared" si="6"/>
        <v>2.6687327823691458</v>
      </c>
      <c r="G57" s="11">
        <f t="shared" si="6"/>
        <v>3.3284421431095685</v>
      </c>
      <c r="H57" s="11">
        <f t="shared" si="6"/>
        <v>3.1965659748384594</v>
      </c>
      <c r="I57" s="11">
        <f t="shared" si="9"/>
        <v>3.0645803001057246</v>
      </c>
      <c r="J57" s="11">
        <f t="shared" si="10"/>
        <v>0.3490977999259316</v>
      </c>
      <c r="K57" s="11">
        <f t="shared" si="7"/>
        <v>5.1256461909910982</v>
      </c>
      <c r="L57" s="11">
        <f t="shared" si="7"/>
        <v>4.2129795625672282</v>
      </c>
      <c r="M57" s="11">
        <f t="shared" si="7"/>
        <v>2.4092684557492672</v>
      </c>
      <c r="N57" s="11">
        <f t="shared" si="11"/>
        <v>3.9159647364358641</v>
      </c>
      <c r="O57" s="11">
        <f t="shared" si="12"/>
        <v>1.382331492564564</v>
      </c>
    </row>
    <row r="58" spans="1:15" x14ac:dyDescent="0.35">
      <c r="A58" s="1" t="s">
        <v>9</v>
      </c>
      <c r="B58" s="11">
        <f t="shared" si="5"/>
        <v>12.526605776484535</v>
      </c>
      <c r="C58" s="11">
        <f t="shared" si="5"/>
        <v>5.9384037015615965</v>
      </c>
      <c r="D58" s="11">
        <f t="shared" si="5"/>
        <v>12.687375835289869</v>
      </c>
      <c r="E58" s="11">
        <f t="shared" si="8"/>
        <v>10.384128437778665</v>
      </c>
      <c r="F58" s="11">
        <f>F10/(F42*2)</f>
        <v>6.0385457657375419</v>
      </c>
      <c r="G58" s="11">
        <f t="shared" si="6"/>
        <v>9.9584035214553062</v>
      </c>
      <c r="H58" s="11">
        <f t="shared" si="6"/>
        <v>7.1677136932256662</v>
      </c>
      <c r="I58" s="11">
        <f>(F58+G58+H58)/3</f>
        <v>7.7215543268061708</v>
      </c>
      <c r="J58" s="11">
        <f t="shared" si="10"/>
        <v>2.0177650487157415</v>
      </c>
      <c r="K58" s="11">
        <f t="shared" si="7"/>
        <v>7.7423218410471373</v>
      </c>
      <c r="L58" s="11">
        <f t="shared" si="7"/>
        <v>7.5112404125892613</v>
      </c>
      <c r="M58" s="11">
        <f t="shared" si="7"/>
        <v>5.9872682642991188</v>
      </c>
      <c r="N58" s="11">
        <f t="shared" si="11"/>
        <v>7.0802768393118392</v>
      </c>
      <c r="O58" s="11">
        <f t="shared" si="12"/>
        <v>0.95359869202566039</v>
      </c>
    </row>
    <row r="59" spans="1:15" x14ac:dyDescent="0.35">
      <c r="A59" s="1" t="s">
        <v>10</v>
      </c>
      <c r="B59" s="11">
        <f t="shared" si="5"/>
        <v>1.2576448545268146</v>
      </c>
      <c r="C59" s="11">
        <f t="shared" si="5"/>
        <v>1.7072829131652667</v>
      </c>
      <c r="D59" s="11">
        <f t="shared" si="5"/>
        <v>1.0883204633204633</v>
      </c>
      <c r="E59" s="11">
        <f t="shared" si="8"/>
        <v>1.3510827436708481</v>
      </c>
      <c r="F59" s="11">
        <f t="shared" si="6"/>
        <v>0.99472210254200777</v>
      </c>
      <c r="G59" s="11">
        <f t="shared" si="6"/>
        <v>1.8038680882717582</v>
      </c>
      <c r="H59" s="11">
        <f t="shared" si="6"/>
        <v>0.88619025154984998</v>
      </c>
      <c r="I59" s="11">
        <f t="shared" si="9"/>
        <v>1.2282601474545387</v>
      </c>
      <c r="J59" s="11">
        <f t="shared" si="10"/>
        <v>0.5014361044229122</v>
      </c>
      <c r="K59" s="11">
        <f t="shared" si="7"/>
        <v>1.0569931565440547</v>
      </c>
      <c r="L59" s="11">
        <f t="shared" si="7"/>
        <v>1.1269146608315099</v>
      </c>
      <c r="M59" s="11">
        <f t="shared" si="7"/>
        <v>1.0200366684127815</v>
      </c>
      <c r="N59" s="11">
        <f t="shared" si="11"/>
        <v>1.0679814952627822</v>
      </c>
      <c r="O59" s="11">
        <f t="shared" si="12"/>
        <v>5.4279683185447521E-2</v>
      </c>
    </row>
    <row r="60" spans="1:15" x14ac:dyDescent="0.35">
      <c r="A60" s="1" t="s">
        <v>11</v>
      </c>
      <c r="B60" s="11">
        <f t="shared" si="5"/>
        <v>10.838609343233447</v>
      </c>
      <c r="C60" s="11">
        <f t="shared" si="5"/>
        <v>5.0898544131028203</v>
      </c>
      <c r="D60" s="11">
        <f t="shared" si="5"/>
        <v>7.6208761068881756</v>
      </c>
      <c r="E60" s="11">
        <f t="shared" si="8"/>
        <v>7.8497799544081479</v>
      </c>
      <c r="F60" s="11">
        <f t="shared" si="6"/>
        <v>5.9223306081838709</v>
      </c>
      <c r="G60" s="11">
        <f t="shared" si="6"/>
        <v>9.212980537964059</v>
      </c>
      <c r="H60" s="11">
        <f t="shared" si="6"/>
        <v>4.646309974178827</v>
      </c>
      <c r="I60" s="11">
        <f t="shared" si="9"/>
        <v>6.5938737067755859</v>
      </c>
      <c r="J60" s="11">
        <f t="shared" si="10"/>
        <v>2.3562358985223129</v>
      </c>
      <c r="K60" s="11">
        <f t="shared" si="7"/>
        <v>6.9003690036900371</v>
      </c>
      <c r="L60" s="11">
        <f t="shared" si="7"/>
        <v>10.613259668508288</v>
      </c>
      <c r="M60" s="11">
        <f t="shared" si="7"/>
        <v>5.2606585056986068</v>
      </c>
      <c r="N60" s="11">
        <f t="shared" si="11"/>
        <v>7.5914290592989779</v>
      </c>
      <c r="O60" s="11">
        <f t="shared" si="12"/>
        <v>2.7424000077252679</v>
      </c>
    </row>
    <row r="61" spans="1:15" x14ac:dyDescent="0.35">
      <c r="A61" s="1" t="s">
        <v>14</v>
      </c>
      <c r="B61" s="11">
        <f t="shared" si="5"/>
        <v>1.1001461988304095</v>
      </c>
      <c r="C61" s="11">
        <f t="shared" si="5"/>
        <v>0.65184645286686105</v>
      </c>
      <c r="D61" s="11">
        <f t="shared" si="5"/>
        <v>0.92294610151753009</v>
      </c>
      <c r="E61" s="11">
        <f t="shared" si="8"/>
        <v>0.89164625107160023</v>
      </c>
      <c r="F61" s="11">
        <f t="shared" si="6"/>
        <v>1.1304450757575757</v>
      </c>
      <c r="G61" s="11">
        <f t="shared" si="6"/>
        <v>1.1158477359275989</v>
      </c>
      <c r="H61" s="11">
        <f t="shared" si="6"/>
        <v>0.70091093117408909</v>
      </c>
      <c r="I61" s="11">
        <f t="shared" si="9"/>
        <v>0.98240124761975467</v>
      </c>
      <c r="J61" s="11">
        <f t="shared" si="10"/>
        <v>0.24388700103129385</v>
      </c>
      <c r="K61" s="11">
        <f t="shared" si="7"/>
        <v>1.3984662576687115</v>
      </c>
      <c r="L61" s="11">
        <f t="shared" si="7"/>
        <v>0.92384423556493378</v>
      </c>
      <c r="M61" s="11">
        <f t="shared" si="7"/>
        <v>0.74109086342579666</v>
      </c>
      <c r="N61" s="11">
        <f t="shared" si="11"/>
        <v>1.0211337855531475</v>
      </c>
      <c r="O61" s="11">
        <f t="shared" si="12"/>
        <v>0.3393148164193372</v>
      </c>
    </row>
    <row r="62" spans="1:15" x14ac:dyDescent="0.35">
      <c r="A62" s="1" t="s">
        <v>12</v>
      </c>
      <c r="B62" s="11">
        <f t="shared" si="5"/>
        <v>0.54841054953870838</v>
      </c>
      <c r="C62" s="11">
        <f t="shared" si="5"/>
        <v>0.27246240601503763</v>
      </c>
      <c r="D62" s="11">
        <f t="shared" si="5"/>
        <v>0.63898119743353532</v>
      </c>
      <c r="E62" s="11">
        <f t="shared" si="8"/>
        <v>0.48661805099576044</v>
      </c>
      <c r="F62" s="11">
        <f t="shared" si="6"/>
        <v>0.35343958841625123</v>
      </c>
      <c r="G62" s="11">
        <f t="shared" si="6"/>
        <v>0.45509325114588278</v>
      </c>
      <c r="H62" s="11">
        <f t="shared" si="6"/>
        <v>0.54496113173015037</v>
      </c>
      <c r="I62" s="11">
        <f t="shared" si="9"/>
        <v>0.45116465709742815</v>
      </c>
      <c r="J62" s="11">
        <f t="shared" si="10"/>
        <v>9.5821191689169583E-2</v>
      </c>
      <c r="K62" s="11">
        <f t="shared" si="7"/>
        <v>0.69600238663484482</v>
      </c>
      <c r="L62" s="11">
        <f t="shared" si="7"/>
        <v>0.36526988636363633</v>
      </c>
      <c r="M62" s="11">
        <f t="shared" si="7"/>
        <v>0.24025454406889452</v>
      </c>
      <c r="N62" s="11">
        <f t="shared" si="11"/>
        <v>0.43384227235579192</v>
      </c>
      <c r="O62" s="11">
        <f t="shared" si="12"/>
        <v>0.23548493177138188</v>
      </c>
    </row>
    <row r="63" spans="1:15" x14ac:dyDescent="0.35">
      <c r="A63" s="1" t="s">
        <v>0</v>
      </c>
      <c r="B63" s="11">
        <f t="shared" si="5"/>
        <v>8.4753423379289448</v>
      </c>
      <c r="C63" s="11">
        <f t="shared" si="5"/>
        <v>5.3968712593387549</v>
      </c>
      <c r="D63" s="11">
        <f t="shared" si="5"/>
        <v>6.8925754121131115</v>
      </c>
      <c r="E63" s="11">
        <f t="shared" si="8"/>
        <v>6.9215963364602695</v>
      </c>
      <c r="F63" s="11">
        <f t="shared" si="6"/>
        <v>7.0646091597796126</v>
      </c>
      <c r="G63" s="11">
        <f t="shared" si="6"/>
        <v>10.943912448700409</v>
      </c>
      <c r="H63" s="11">
        <f t="shared" si="6"/>
        <v>8.8390600482942023</v>
      </c>
      <c r="I63" s="11">
        <f t="shared" si="9"/>
        <v>8.9491938855914075</v>
      </c>
      <c r="J63" s="11">
        <f t="shared" si="10"/>
        <v>1.9419952622100483</v>
      </c>
      <c r="K63" s="11">
        <f t="shared" si="7"/>
        <v>12.59375</v>
      </c>
      <c r="L63" s="11">
        <f t="shared" si="7"/>
        <v>7.8975</v>
      </c>
      <c r="M63" s="11">
        <f t="shared" si="7"/>
        <v>3.6018755328218246</v>
      </c>
      <c r="N63" s="11">
        <f t="shared" si="11"/>
        <v>8.0310418442739415</v>
      </c>
      <c r="O63" s="11">
        <f t="shared" si="12"/>
        <v>4.4974244492266635</v>
      </c>
    </row>
    <row r="64" spans="1:15" x14ac:dyDescent="0.35">
      <c r="A64" s="1" t="s">
        <v>1</v>
      </c>
      <c r="B64" s="11">
        <f t="shared" si="5"/>
        <v>64.496503711918209</v>
      </c>
      <c r="C64" s="11">
        <f t="shared" si="5"/>
        <v>36.851820054945058</v>
      </c>
      <c r="D64" s="11">
        <f t="shared" si="5"/>
        <v>45.405038074137515</v>
      </c>
      <c r="E64" s="11">
        <f>(B64+C64+D64)/3</f>
        <v>48.917787280333592</v>
      </c>
      <c r="F64" s="11">
        <f t="shared" si="6"/>
        <v>39.234751472818999</v>
      </c>
      <c r="G64" s="11">
        <f t="shared" si="6"/>
        <v>53.208358293104055</v>
      </c>
      <c r="H64" s="11">
        <f t="shared" si="6"/>
        <v>40.38563522388872</v>
      </c>
      <c r="I64" s="11">
        <f t="shared" si="9"/>
        <v>44.27624832993726</v>
      </c>
      <c r="J64" s="11">
        <f t="shared" si="10"/>
        <v>7.7568082771006281</v>
      </c>
      <c r="K64" s="11">
        <f t="shared" si="7"/>
        <v>50.347222222222214</v>
      </c>
      <c r="L64" s="11">
        <f t="shared" si="7"/>
        <v>64.745098039215691</v>
      </c>
      <c r="M64" s="11">
        <f t="shared" si="7"/>
        <v>35.416666666666671</v>
      </c>
      <c r="N64" s="11">
        <f t="shared" si="11"/>
        <v>50.169662309368192</v>
      </c>
      <c r="O64" s="11">
        <f t="shared" si="12"/>
        <v>14.665021900275809</v>
      </c>
    </row>
    <row r="65" spans="1:15" x14ac:dyDescent="0.35">
      <c r="A65" s="4" t="s">
        <v>28</v>
      </c>
    </row>
    <row r="66" spans="1:15" x14ac:dyDescent="0.35">
      <c r="A66" s="2" t="s">
        <v>13</v>
      </c>
      <c r="B66" s="12" t="s">
        <v>32</v>
      </c>
      <c r="C66" s="12" t="s">
        <v>33</v>
      </c>
      <c r="D66" s="12" t="s">
        <v>34</v>
      </c>
      <c r="E66" s="12" t="s">
        <v>15</v>
      </c>
      <c r="F66" s="13" t="s">
        <v>21</v>
      </c>
      <c r="G66" s="13" t="s">
        <v>22</v>
      </c>
      <c r="H66" s="13" t="s">
        <v>23</v>
      </c>
      <c r="I66" s="13" t="s">
        <v>15</v>
      </c>
      <c r="J66" s="13" t="s">
        <v>16</v>
      </c>
      <c r="K66" s="13" t="s">
        <v>24</v>
      </c>
      <c r="L66" s="13" t="s">
        <v>25</v>
      </c>
      <c r="M66" s="13" t="s">
        <v>26</v>
      </c>
      <c r="N66" s="13" t="s">
        <v>15</v>
      </c>
      <c r="O66" s="13" t="s">
        <v>16</v>
      </c>
    </row>
    <row r="67" spans="1:15" x14ac:dyDescent="0.35">
      <c r="A67" s="1" t="s">
        <v>2</v>
      </c>
      <c r="B67" s="11">
        <f t="shared" ref="B67:D80" si="13">B19/(B35*2)</f>
        <v>5.7753386354246583</v>
      </c>
      <c r="C67" s="11">
        <f t="shared" si="13"/>
        <v>6.1054742803209052</v>
      </c>
      <c r="D67" s="11">
        <f t="shared" si="13"/>
        <v>9.8563404623028728</v>
      </c>
      <c r="E67" s="11">
        <f>(B67+C67+D67)/3</f>
        <v>7.2457177926828118</v>
      </c>
      <c r="F67" s="11">
        <f t="shared" ref="F67:H80" si="14">F19/(F35*2)</f>
        <v>4.6835119959162839</v>
      </c>
      <c r="G67" s="11">
        <f t="shared" si="14"/>
        <v>4.9047619047619051</v>
      </c>
      <c r="H67" s="11">
        <f t="shared" si="14"/>
        <v>6.9935962251432437</v>
      </c>
      <c r="I67" s="11">
        <f>(F67+G67+H67)/3</f>
        <v>5.5272900419404776</v>
      </c>
      <c r="J67" s="11">
        <f>STDEV(F67:H67)</f>
        <v>1.2746678970284964</v>
      </c>
      <c r="K67" s="11">
        <f t="shared" ref="K67:M80" si="15">K19/(K35*2)</f>
        <v>6.2807246258725113</v>
      </c>
      <c r="L67" s="11">
        <f t="shared" si="15"/>
        <v>7.3993800834323809</v>
      </c>
      <c r="M67" s="11">
        <f t="shared" si="15"/>
        <v>3.9719626168224305</v>
      </c>
      <c r="N67" s="11">
        <f>(K67+L67+M67)/3</f>
        <v>5.8840224420424407</v>
      </c>
      <c r="O67" s="11">
        <f>STDEV(K67:M67)</f>
        <v>1.7478063650179889</v>
      </c>
    </row>
    <row r="68" spans="1:15" x14ac:dyDescent="0.35">
      <c r="A68" s="1" t="s">
        <v>3</v>
      </c>
      <c r="B68" s="11">
        <f t="shared" si="13"/>
        <v>55.722843668217507</v>
      </c>
      <c r="C68" s="11">
        <f t="shared" si="13"/>
        <v>73.378397067975939</v>
      </c>
      <c r="D68" s="11">
        <f t="shared" si="13"/>
        <v>46.291896344167775</v>
      </c>
      <c r="E68" s="11">
        <f t="shared" ref="E68:E79" si="16">(B68+C68+D68)/3</f>
        <v>58.464379026787078</v>
      </c>
      <c r="F68" s="11">
        <f t="shared" si="14"/>
        <v>117.56651017214396</v>
      </c>
      <c r="G68" s="11">
        <f t="shared" si="14"/>
        <v>88.395522388059703</v>
      </c>
      <c r="H68" s="11">
        <f t="shared" si="14"/>
        <v>85.765934654525978</v>
      </c>
      <c r="I68" s="11">
        <f t="shared" ref="I68:I80" si="17">(F68+G68+H68)/3</f>
        <v>97.242655738243229</v>
      </c>
      <c r="J68" s="11">
        <f t="shared" ref="J68:J80" si="18">STDEV(F68:H68)</f>
        <v>17.650013518404819</v>
      </c>
      <c r="K68" s="11">
        <f t="shared" si="15"/>
        <v>74.773711137347505</v>
      </c>
      <c r="L68" s="11">
        <f t="shared" si="15"/>
        <v>98.163265306122454</v>
      </c>
      <c r="M68" s="11">
        <f t="shared" si="15"/>
        <v>70.383592328153441</v>
      </c>
      <c r="N68" s="11">
        <f t="shared" ref="N68:N80" si="19">(K68+L68+M68)/3</f>
        <v>81.106856257207809</v>
      </c>
      <c r="O68" s="11">
        <f t="shared" ref="O68:O80" si="20">STDEV(K68:M68)</f>
        <v>14.93348931169913</v>
      </c>
    </row>
    <row r="69" spans="1:15" x14ac:dyDescent="0.35">
      <c r="A69" s="1" t="s">
        <v>4</v>
      </c>
      <c r="B69" s="11">
        <f t="shared" si="13"/>
        <v>124.52405600786076</v>
      </c>
      <c r="C69" s="11">
        <f t="shared" si="13"/>
        <v>137.83433994823122</v>
      </c>
      <c r="D69" s="11">
        <f t="shared" si="13"/>
        <v>132.80839895013125</v>
      </c>
      <c r="E69" s="11">
        <f t="shared" si="16"/>
        <v>131.72226496874109</v>
      </c>
      <c r="F69" s="11">
        <f t="shared" si="14"/>
        <v>114.12417170844137</v>
      </c>
      <c r="G69" s="11">
        <f t="shared" si="14"/>
        <v>104.1599613775346</v>
      </c>
      <c r="H69" s="11">
        <f t="shared" si="14"/>
        <v>101.60728910728911</v>
      </c>
      <c r="I69" s="11">
        <f t="shared" si="17"/>
        <v>106.63047406442168</v>
      </c>
      <c r="J69" s="11">
        <f t="shared" si="18"/>
        <v>6.6140503637944574</v>
      </c>
      <c r="K69" s="11">
        <f t="shared" si="15"/>
        <v>108.35453774385073</v>
      </c>
      <c r="L69" s="11">
        <f t="shared" si="15"/>
        <v>170.12503325352492</v>
      </c>
      <c r="M69" s="11">
        <f t="shared" si="15"/>
        <v>201.73316290818349</v>
      </c>
      <c r="N69" s="11">
        <f t="shared" si="19"/>
        <v>160.07091130185304</v>
      </c>
      <c r="O69" s="11">
        <f t="shared" si="20"/>
        <v>47.494272660601467</v>
      </c>
    </row>
    <row r="70" spans="1:15" x14ac:dyDescent="0.35">
      <c r="A70" s="1" t="s">
        <v>5</v>
      </c>
      <c r="B70" s="11">
        <f t="shared" si="13"/>
        <v>1.9294110049082922</v>
      </c>
      <c r="C70" s="11">
        <f t="shared" si="13"/>
        <v>1.7167381974248928</v>
      </c>
      <c r="D70" s="11">
        <f t="shared" si="13"/>
        <v>1.198527201683198</v>
      </c>
      <c r="E70" s="11">
        <f t="shared" si="16"/>
        <v>1.6148921346721277</v>
      </c>
      <c r="F70" s="11">
        <f t="shared" si="14"/>
        <v>1.3811796921255184</v>
      </c>
      <c r="G70" s="11">
        <f t="shared" si="14"/>
        <v>1.2683374083129582</v>
      </c>
      <c r="H70" s="11">
        <f t="shared" si="14"/>
        <v>1.2199170124481329</v>
      </c>
      <c r="I70" s="11">
        <f t="shared" si="17"/>
        <v>1.2898113709622032</v>
      </c>
      <c r="J70" s="11">
        <f t="shared" si="18"/>
        <v>8.274817984752679E-2</v>
      </c>
      <c r="K70" s="11">
        <f t="shared" si="15"/>
        <v>1.0645538292314038</v>
      </c>
      <c r="L70" s="11">
        <f t="shared" si="15"/>
        <v>1.3378925538218447</v>
      </c>
      <c r="M70" s="11">
        <f t="shared" si="15"/>
        <v>1.3629909766454353</v>
      </c>
      <c r="N70" s="11">
        <f t="shared" si="19"/>
        <v>1.2551457865662279</v>
      </c>
      <c r="O70" s="11">
        <f t="shared" si="20"/>
        <v>0.16553384354142786</v>
      </c>
    </row>
    <row r="71" spans="1:15" x14ac:dyDescent="0.35">
      <c r="A71" s="1" t="s">
        <v>6</v>
      </c>
      <c r="B71" s="11">
        <f t="shared" si="13"/>
        <v>2.7501204432310904</v>
      </c>
      <c r="C71" s="11">
        <f t="shared" si="13"/>
        <v>2.271294795605979</v>
      </c>
      <c r="D71" s="11">
        <f t="shared" si="13"/>
        <v>1.9993421670895593</v>
      </c>
      <c r="E71" s="11">
        <f t="shared" si="16"/>
        <v>2.3402524686422095</v>
      </c>
      <c r="F71" s="11">
        <f t="shared" si="14"/>
        <v>2.8452481968604153</v>
      </c>
      <c r="G71" s="11">
        <f t="shared" si="14"/>
        <v>2.148702463787143</v>
      </c>
      <c r="H71" s="11">
        <f t="shared" si="14"/>
        <v>2.5073028237585202</v>
      </c>
      <c r="I71" s="11">
        <f t="shared" si="17"/>
        <v>2.5004178281353595</v>
      </c>
      <c r="J71" s="11">
        <f t="shared" si="18"/>
        <v>0.34832390377232703</v>
      </c>
      <c r="K71" s="11">
        <f t="shared" si="15"/>
        <v>1.7489894072172556</v>
      </c>
      <c r="L71" s="11">
        <f t="shared" si="15"/>
        <v>2.3063942443716909</v>
      </c>
      <c r="M71" s="11">
        <f t="shared" si="15"/>
        <v>2.1524383903504209</v>
      </c>
      <c r="N71" s="11">
        <f t="shared" si="19"/>
        <v>2.0692740139797894</v>
      </c>
      <c r="O71" s="11">
        <f t="shared" si="20"/>
        <v>0.28785807830183829</v>
      </c>
    </row>
    <row r="72" spans="1:15" x14ac:dyDescent="0.35">
      <c r="A72" s="1" t="s">
        <v>7</v>
      </c>
      <c r="B72" s="11">
        <f t="shared" si="13"/>
        <v>62.485973967684018</v>
      </c>
      <c r="C72" s="11">
        <f t="shared" si="13"/>
        <v>84.465388935692218</v>
      </c>
      <c r="D72" s="11">
        <f t="shared" si="13"/>
        <v>64.071205326810713</v>
      </c>
      <c r="E72" s="11">
        <f t="shared" si="16"/>
        <v>70.340856076728983</v>
      </c>
      <c r="F72" s="11">
        <f t="shared" si="14"/>
        <v>73.815393043001919</v>
      </c>
      <c r="G72" s="11">
        <f t="shared" si="14"/>
        <v>66.159625362172363</v>
      </c>
      <c r="H72" s="11">
        <f t="shared" si="14"/>
        <v>73.225054824561411</v>
      </c>
      <c r="I72" s="11">
        <f t="shared" si="17"/>
        <v>71.066691076578579</v>
      </c>
      <c r="J72" s="11">
        <f t="shared" si="18"/>
        <v>4.2598820696309785</v>
      </c>
      <c r="K72" s="11">
        <f t="shared" si="15"/>
        <v>58.262545225735408</v>
      </c>
      <c r="L72" s="11">
        <f t="shared" si="15"/>
        <v>84.803551738146354</v>
      </c>
      <c r="M72" s="11">
        <f t="shared" si="15"/>
        <v>117.35232067510549</v>
      </c>
      <c r="N72" s="11">
        <f t="shared" si="19"/>
        <v>86.806139212995745</v>
      </c>
      <c r="O72" s="11">
        <f t="shared" si="20"/>
        <v>29.595745608280623</v>
      </c>
    </row>
    <row r="73" spans="1:15" x14ac:dyDescent="0.35">
      <c r="A73" s="1" t="s">
        <v>8</v>
      </c>
      <c r="B73" s="11">
        <f t="shared" si="13"/>
        <v>4.0423264311814853</v>
      </c>
      <c r="C73" s="11">
        <f t="shared" si="13"/>
        <v>8.7675682842747289</v>
      </c>
      <c r="D73" s="11">
        <f t="shared" si="13"/>
        <v>7.5849351208743867</v>
      </c>
      <c r="E73" s="11">
        <f t="shared" si="16"/>
        <v>6.7982766121102003</v>
      </c>
      <c r="F73" s="11">
        <f t="shared" si="14"/>
        <v>9.2821067821067818</v>
      </c>
      <c r="G73" s="11">
        <f t="shared" si="14"/>
        <v>5.8283589160507869</v>
      </c>
      <c r="H73" s="11">
        <f t="shared" si="14"/>
        <v>8.9912931631542481</v>
      </c>
      <c r="I73" s="11">
        <f t="shared" si="17"/>
        <v>8.0339196204372723</v>
      </c>
      <c r="J73" s="11">
        <f t="shared" si="18"/>
        <v>1.9155982501016322</v>
      </c>
      <c r="K73" s="11">
        <f t="shared" si="15"/>
        <v>9.1034547456463901</v>
      </c>
      <c r="L73" s="11">
        <f t="shared" si="15"/>
        <v>8.5678857416039218</v>
      </c>
      <c r="M73" s="11">
        <f t="shared" si="15"/>
        <v>8.2888873496340416</v>
      </c>
      <c r="N73" s="11">
        <f t="shared" si="19"/>
        <v>8.6534092789614512</v>
      </c>
      <c r="O73" s="11">
        <f t="shared" si="20"/>
        <v>0.41396342500659777</v>
      </c>
    </row>
    <row r="74" spans="1:15" x14ac:dyDescent="0.35">
      <c r="A74" s="1" t="s">
        <v>9</v>
      </c>
      <c r="B74" s="11">
        <f t="shared" si="13"/>
        <v>42.235617725509215</v>
      </c>
      <c r="C74" s="11">
        <f t="shared" si="13"/>
        <v>29.385964912280702</v>
      </c>
      <c r="D74" s="11">
        <f t="shared" si="13"/>
        <v>48.751580278128955</v>
      </c>
      <c r="E74" s="11">
        <f t="shared" si="16"/>
        <v>40.124387638639625</v>
      </c>
      <c r="F74" s="11">
        <f t="shared" si="14"/>
        <v>26.603331367356301</v>
      </c>
      <c r="G74" s="11">
        <f t="shared" si="14"/>
        <v>29.423068476303424</v>
      </c>
      <c r="H74" s="11">
        <f t="shared" si="14"/>
        <v>25.34668848448786</v>
      </c>
      <c r="I74" s="11">
        <f t="shared" si="17"/>
        <v>27.124362776049196</v>
      </c>
      <c r="J74" s="11">
        <f t="shared" si="18"/>
        <v>2.0875401208244937</v>
      </c>
      <c r="K74" s="11">
        <f t="shared" si="15"/>
        <v>17.598454387315712</v>
      </c>
      <c r="L74" s="11">
        <f t="shared" si="15"/>
        <v>30.036880307972609</v>
      </c>
      <c r="M74" s="11">
        <f t="shared" si="15"/>
        <v>24.092292239061713</v>
      </c>
      <c r="N74" s="11">
        <f t="shared" si="19"/>
        <v>23.909208978116681</v>
      </c>
      <c r="O74" s="11">
        <f t="shared" si="20"/>
        <v>6.2212337567596663</v>
      </c>
    </row>
    <row r="75" spans="1:15" x14ac:dyDescent="0.35">
      <c r="A75" s="1" t="s">
        <v>10</v>
      </c>
      <c r="B75" s="11">
        <f t="shared" si="13"/>
        <v>5.2298759147311493</v>
      </c>
      <c r="C75" s="11">
        <f t="shared" si="13"/>
        <v>4.8676470588235299</v>
      </c>
      <c r="D75" s="11">
        <f t="shared" si="13"/>
        <v>2.6903153153153148</v>
      </c>
      <c r="E75" s="11">
        <f t="shared" si="16"/>
        <v>4.2626127629566648</v>
      </c>
      <c r="F75" s="11">
        <f t="shared" si="14"/>
        <v>4.3315560821484986</v>
      </c>
      <c r="G75" s="11">
        <f t="shared" si="14"/>
        <v>4.0073904179408766</v>
      </c>
      <c r="H75" s="11">
        <f t="shared" si="14"/>
        <v>2.0682339094344298</v>
      </c>
      <c r="I75" s="11">
        <f t="shared" si="17"/>
        <v>3.4690601365079345</v>
      </c>
      <c r="J75" s="11">
        <f t="shared" si="18"/>
        <v>1.2239307305993836</v>
      </c>
      <c r="K75" s="11">
        <f t="shared" si="15"/>
        <v>1.6713002566295982</v>
      </c>
      <c r="L75" s="11">
        <f t="shared" si="15"/>
        <v>2.7479941648431798</v>
      </c>
      <c r="M75" s="11">
        <f t="shared" si="15"/>
        <v>2.9086345381526102</v>
      </c>
      <c r="N75" s="11">
        <f t="shared" si="19"/>
        <v>2.4426429865417965</v>
      </c>
      <c r="O75" s="11">
        <f t="shared" si="20"/>
        <v>0.67281389523816049</v>
      </c>
    </row>
    <row r="76" spans="1:15" x14ac:dyDescent="0.35">
      <c r="A76" s="1" t="s">
        <v>11</v>
      </c>
      <c r="B76" s="11">
        <f t="shared" si="13"/>
        <v>8.7828473050914866</v>
      </c>
      <c r="C76" s="11">
        <f t="shared" si="13"/>
        <v>3.8561571125265393</v>
      </c>
      <c r="D76" s="11">
        <f t="shared" si="13"/>
        <v>5.4808923020661915</v>
      </c>
      <c r="E76" s="11">
        <f t="shared" si="16"/>
        <v>6.0399655732280726</v>
      </c>
      <c r="F76" s="11">
        <f t="shared" si="14"/>
        <v>5.8341536857953562</v>
      </c>
      <c r="G76" s="11">
        <f t="shared" si="14"/>
        <v>5.5271030880786984</v>
      </c>
      <c r="H76" s="11">
        <f t="shared" si="14"/>
        <v>4.6448087431693992</v>
      </c>
      <c r="I76" s="11">
        <f t="shared" si="17"/>
        <v>5.3353551723478176</v>
      </c>
      <c r="J76" s="11">
        <f t="shared" si="18"/>
        <v>0.61742270409164413</v>
      </c>
      <c r="K76" s="11">
        <f t="shared" si="15"/>
        <v>6.1792742927429272</v>
      </c>
      <c r="L76" s="11">
        <f t="shared" si="15"/>
        <v>4.6086556169429089</v>
      </c>
      <c r="M76" s="11">
        <f t="shared" si="15"/>
        <v>4.9413430420711979</v>
      </c>
      <c r="N76" s="11">
        <f t="shared" si="19"/>
        <v>5.2430909839190116</v>
      </c>
      <c r="O76" s="11">
        <f t="shared" si="20"/>
        <v>0.82764703920209282</v>
      </c>
    </row>
    <row r="77" spans="1:15" x14ac:dyDescent="0.35">
      <c r="A77" s="1" t="s">
        <v>14</v>
      </c>
      <c r="B77" s="11" t="e">
        <f t="shared" si="13"/>
        <v>#VALUE!</v>
      </c>
      <c r="C77" s="11" t="e">
        <f t="shared" si="13"/>
        <v>#VALUE!</v>
      </c>
      <c r="D77" s="11" t="e">
        <f t="shared" si="13"/>
        <v>#VALUE!</v>
      </c>
      <c r="E77" s="11" t="e">
        <f t="shared" si="16"/>
        <v>#VALUE!</v>
      </c>
      <c r="F77" s="11">
        <f t="shared" si="14"/>
        <v>0.90393518518518523</v>
      </c>
      <c r="G77" s="11">
        <f t="shared" si="14"/>
        <v>0.59231793116562093</v>
      </c>
      <c r="H77" s="11">
        <f t="shared" si="14"/>
        <v>0.40698099415204692</v>
      </c>
      <c r="I77" s="11">
        <f t="shared" si="17"/>
        <v>0.63441137016761762</v>
      </c>
      <c r="J77" s="11">
        <f t="shared" si="18"/>
        <v>0.25113693516010616</v>
      </c>
      <c r="K77" s="11">
        <f t="shared" si="15"/>
        <v>0.29652351738241306</v>
      </c>
      <c r="L77" s="11">
        <f t="shared" si="15"/>
        <v>0.33569921350469983</v>
      </c>
      <c r="M77" s="11">
        <f t="shared" si="15"/>
        <v>0.50813008130081294</v>
      </c>
      <c r="N77" s="11">
        <f t="shared" si="19"/>
        <v>0.38011760406264195</v>
      </c>
      <c r="O77" s="11">
        <f t="shared" si="20"/>
        <v>0.11257921450319497</v>
      </c>
    </row>
    <row r="78" spans="1:15" x14ac:dyDescent="0.35">
      <c r="A78" s="1" t="s">
        <v>12</v>
      </c>
      <c r="B78" s="11">
        <f t="shared" si="13"/>
        <v>0.11112364620938628</v>
      </c>
      <c r="C78" s="11">
        <f t="shared" si="13"/>
        <v>9.2817982456140355E-2</v>
      </c>
      <c r="D78" s="11">
        <f t="shared" si="13"/>
        <v>0.21495307212633283</v>
      </c>
      <c r="E78" s="11">
        <f t="shared" si="16"/>
        <v>0.13963156693061982</v>
      </c>
      <c r="F78" s="11">
        <f t="shared" si="14"/>
        <v>0.11279657720731234</v>
      </c>
      <c r="G78" s="11">
        <f t="shared" si="14"/>
        <v>0.11890594541910333</v>
      </c>
      <c r="H78" s="11">
        <f t="shared" si="14"/>
        <v>0.17604838408699394</v>
      </c>
      <c r="I78" s="11">
        <f t="shared" si="17"/>
        <v>0.13591696890446989</v>
      </c>
      <c r="J78" s="11">
        <f t="shared" si="18"/>
        <v>3.4888808497867921E-2</v>
      </c>
      <c r="K78" s="11">
        <f t="shared" si="15"/>
        <v>0.11739260143198091</v>
      </c>
      <c r="L78" s="11">
        <f t="shared" si="15"/>
        <v>9.9638967803030318E-2</v>
      </c>
      <c r="M78" s="11">
        <f t="shared" si="15"/>
        <v>9.6954425942156017E-2</v>
      </c>
      <c r="N78" s="11">
        <f t="shared" si="19"/>
        <v>0.10466199839238909</v>
      </c>
      <c r="O78" s="11">
        <f t="shared" si="20"/>
        <v>1.1106434241665734E-2</v>
      </c>
    </row>
    <row r="79" spans="1:15" x14ac:dyDescent="0.35">
      <c r="A79" s="1" t="s">
        <v>0</v>
      </c>
      <c r="B79" s="11">
        <f t="shared" si="13"/>
        <v>3.9603781755196303</v>
      </c>
      <c r="C79" s="11">
        <f t="shared" si="13"/>
        <v>4.7613888086294907</v>
      </c>
      <c r="D79" s="11">
        <f t="shared" si="13"/>
        <v>4.2457805907173007</v>
      </c>
      <c r="E79" s="11">
        <f t="shared" si="16"/>
        <v>4.3225158582888072</v>
      </c>
      <c r="F79" s="11">
        <f t="shared" si="14"/>
        <v>2.8540614478114477</v>
      </c>
      <c r="G79" s="11">
        <f t="shared" si="14"/>
        <v>5.17935856513148</v>
      </c>
      <c r="H79" s="11">
        <f t="shared" si="14"/>
        <v>4.4384389886405282</v>
      </c>
      <c r="I79" s="11">
        <f t="shared" si="17"/>
        <v>4.1572863338611521</v>
      </c>
      <c r="J79" s="11">
        <f t="shared" si="18"/>
        <v>1.1878706926350711</v>
      </c>
      <c r="K79" s="11">
        <f t="shared" si="15"/>
        <v>3.9427083333333335</v>
      </c>
      <c r="L79" s="11">
        <f t="shared" si="15"/>
        <v>4.4479166666666661</v>
      </c>
      <c r="M79" s="11">
        <f t="shared" si="15"/>
        <v>3.1396241830065366</v>
      </c>
      <c r="N79" s="11">
        <f t="shared" si="19"/>
        <v>3.8434163943355117</v>
      </c>
      <c r="O79" s="11">
        <f t="shared" si="20"/>
        <v>0.65977380408960051</v>
      </c>
    </row>
    <row r="80" spans="1:15" x14ac:dyDescent="0.35">
      <c r="A80" s="1" t="s">
        <v>1</v>
      </c>
      <c r="B80" s="11">
        <f t="shared" si="13"/>
        <v>16.39065532298309</v>
      </c>
      <c r="C80" s="11">
        <f t="shared" si="13"/>
        <v>23.769280849358974</v>
      </c>
      <c r="D80" s="11">
        <f t="shared" si="13"/>
        <v>18.870281072157784</v>
      </c>
      <c r="E80" s="11">
        <f>(B80+C80+D80)/3</f>
        <v>19.676739081499949</v>
      </c>
      <c r="F80" s="11">
        <f t="shared" si="14"/>
        <v>16.597141378864315</v>
      </c>
      <c r="G80" s="11">
        <f t="shared" si="14"/>
        <v>14.038927174520394</v>
      </c>
      <c r="H80" s="11">
        <f t="shared" si="14"/>
        <v>9.0477874020387716</v>
      </c>
      <c r="I80" s="11">
        <f t="shared" si="17"/>
        <v>13.227951985141161</v>
      </c>
      <c r="J80" s="11">
        <f t="shared" si="18"/>
        <v>3.8394591982718613</v>
      </c>
      <c r="K80" s="11">
        <f t="shared" si="15"/>
        <v>13.573232323232322</v>
      </c>
      <c r="L80" s="11">
        <f t="shared" si="15"/>
        <v>29.019607843137258</v>
      </c>
      <c r="M80" s="11">
        <f t="shared" si="15"/>
        <v>32.722222222222221</v>
      </c>
      <c r="N80" s="11">
        <f t="shared" si="19"/>
        <v>25.105020796197266</v>
      </c>
      <c r="O80" s="11">
        <f t="shared" si="20"/>
        <v>10.156965459671362</v>
      </c>
    </row>
    <row r="81" spans="1:15" x14ac:dyDescent="0.35">
      <c r="A81" s="3" t="s">
        <v>20</v>
      </c>
    </row>
    <row r="82" spans="1:15" x14ac:dyDescent="0.35">
      <c r="A82" s="2" t="s">
        <v>13</v>
      </c>
      <c r="B82" s="12" t="s">
        <v>32</v>
      </c>
      <c r="C82" s="12" t="s">
        <v>33</v>
      </c>
      <c r="D82" s="12" t="s">
        <v>34</v>
      </c>
      <c r="E82" s="12" t="s">
        <v>15</v>
      </c>
      <c r="F82" s="13" t="s">
        <v>21</v>
      </c>
      <c r="G82" s="13" t="s">
        <v>22</v>
      </c>
      <c r="H82" s="13" t="s">
        <v>23</v>
      </c>
      <c r="I82" s="13" t="s">
        <v>15</v>
      </c>
      <c r="J82" s="13" t="s">
        <v>16</v>
      </c>
      <c r="K82" s="13" t="s">
        <v>24</v>
      </c>
      <c r="L82" s="13" t="s">
        <v>25</v>
      </c>
      <c r="M82" s="13" t="s">
        <v>26</v>
      </c>
      <c r="N82" s="13" t="s">
        <v>15</v>
      </c>
      <c r="O82" s="13" t="s">
        <v>16</v>
      </c>
    </row>
    <row r="83" spans="1:15" x14ac:dyDescent="0.35">
      <c r="A83" s="1" t="s">
        <v>2</v>
      </c>
      <c r="B83" s="11">
        <v>10.157</v>
      </c>
      <c r="C83" s="11">
        <v>12.784000000000001</v>
      </c>
      <c r="D83" s="11">
        <v>7.5</v>
      </c>
      <c r="E83" s="11">
        <v>20.294</v>
      </c>
      <c r="F83" s="14">
        <v>13.677</v>
      </c>
      <c r="G83" s="14">
        <v>10.617000000000001</v>
      </c>
      <c r="H83" s="14">
        <v>13.286</v>
      </c>
      <c r="I83" s="14">
        <v>25.053333333333331</v>
      </c>
      <c r="J83" s="14">
        <v>3.3306698025071912</v>
      </c>
      <c r="K83" s="14">
        <v>9.6829999999999998</v>
      </c>
      <c r="L83" s="14">
        <v>11.566000000000001</v>
      </c>
      <c r="M83" s="14">
        <v>11.831</v>
      </c>
      <c r="N83" s="14">
        <v>22.053333333333299</v>
      </c>
      <c r="O83" s="14">
        <v>2.3423375788586354</v>
      </c>
    </row>
    <row r="84" spans="1:15" x14ac:dyDescent="0.35">
      <c r="A84" s="1" t="s">
        <v>3</v>
      </c>
      <c r="B84" s="11">
        <v>18.670000000000002</v>
      </c>
      <c r="C84" s="11">
        <v>23.66</v>
      </c>
      <c r="D84" s="11">
        <v>16.010000000000002</v>
      </c>
      <c r="E84" s="11">
        <v>38.893333333333302</v>
      </c>
      <c r="F84" s="14">
        <v>28.72</v>
      </c>
      <c r="G84" s="14">
        <v>27.33</v>
      </c>
      <c r="H84" s="14">
        <v>29.63</v>
      </c>
      <c r="I84" s="14">
        <v>57.12</v>
      </c>
      <c r="J84" s="14">
        <v>2.3166354913969531</v>
      </c>
      <c r="K84" s="14">
        <v>90.27</v>
      </c>
      <c r="L84" s="14">
        <v>91.03</v>
      </c>
      <c r="M84" s="14">
        <v>87.82</v>
      </c>
      <c r="N84" s="14">
        <v>179.41333333333333</v>
      </c>
      <c r="O84" s="14">
        <v>3.3550161450182894</v>
      </c>
    </row>
    <row r="85" spans="1:15" x14ac:dyDescent="0.35">
      <c r="A85" s="1" t="s">
        <v>4</v>
      </c>
      <c r="B85" s="11">
        <v>200.1</v>
      </c>
      <c r="C85" s="11">
        <v>171.9</v>
      </c>
      <c r="D85" s="11">
        <v>176.4</v>
      </c>
      <c r="E85" s="11">
        <v>365.6</v>
      </c>
      <c r="F85" s="14">
        <v>215</v>
      </c>
      <c r="G85" s="14">
        <v>223.5</v>
      </c>
      <c r="H85" s="14">
        <v>195</v>
      </c>
      <c r="I85" s="14">
        <v>422.33333333333331</v>
      </c>
      <c r="J85" s="14">
        <v>29.263173671584791</v>
      </c>
      <c r="K85" s="14">
        <v>210.5</v>
      </c>
      <c r="L85" s="14">
        <v>224.4</v>
      </c>
      <c r="M85" s="14">
        <v>197</v>
      </c>
      <c r="N85" s="14">
        <v>421.26666666666665</v>
      </c>
      <c r="O85" s="14">
        <v>27.400973218725895</v>
      </c>
    </row>
    <row r="86" spans="1:15" x14ac:dyDescent="0.35">
      <c r="A86" s="1" t="s">
        <v>5</v>
      </c>
      <c r="B86" s="11">
        <v>5.5780000000000003</v>
      </c>
      <c r="C86" s="11">
        <v>5.14</v>
      </c>
      <c r="D86" s="11">
        <v>4.4980000000000002</v>
      </c>
      <c r="E86" s="11">
        <v>10.144</v>
      </c>
      <c r="F86" s="14">
        <v>12.01</v>
      </c>
      <c r="G86" s="14">
        <v>11.74</v>
      </c>
      <c r="H86" s="14">
        <v>10.92</v>
      </c>
      <c r="I86" s="14">
        <v>23.113333333333333</v>
      </c>
      <c r="J86" s="14">
        <v>1.1353119982336719</v>
      </c>
      <c r="K86" s="14">
        <v>36.86</v>
      </c>
      <c r="L86" s="14">
        <v>31.96</v>
      </c>
      <c r="M86" s="14">
        <v>27.83</v>
      </c>
      <c r="N86" s="14">
        <v>64.433333333333323</v>
      </c>
      <c r="O86" s="14">
        <v>9.0409365296596391</v>
      </c>
    </row>
    <row r="87" spans="1:15" x14ac:dyDescent="0.35">
      <c r="A87" s="1" t="s">
        <v>6</v>
      </c>
      <c r="B87" s="11">
        <v>8.5239999999999991</v>
      </c>
      <c r="C87" s="11">
        <v>8.3049999999999997</v>
      </c>
      <c r="D87" s="11">
        <v>7.4219999999999997</v>
      </c>
      <c r="E87" s="11">
        <v>16.167333333333335</v>
      </c>
      <c r="F87" s="14">
        <v>10.662000000000001</v>
      </c>
      <c r="G87" s="14">
        <v>13.73</v>
      </c>
      <c r="H87" s="14">
        <v>10.987</v>
      </c>
      <c r="I87" s="14">
        <v>23.586000000000002</v>
      </c>
      <c r="J87" s="14">
        <v>3.3706871702962564</v>
      </c>
      <c r="K87" s="14">
        <v>53.33</v>
      </c>
      <c r="L87" s="14">
        <v>44.46</v>
      </c>
      <c r="M87" s="14">
        <v>44.14</v>
      </c>
      <c r="N87" s="14">
        <v>94.62</v>
      </c>
      <c r="O87" s="14">
        <v>10.431855060342812</v>
      </c>
    </row>
    <row r="88" spans="1:15" x14ac:dyDescent="0.35">
      <c r="A88" s="1" t="s">
        <v>7</v>
      </c>
      <c r="B88" s="11">
        <v>118.3</v>
      </c>
      <c r="C88" s="11">
        <v>105.7</v>
      </c>
      <c r="D88" s="11">
        <v>102.6</v>
      </c>
      <c r="E88" s="11">
        <v>217.73333333333335</v>
      </c>
      <c r="F88" s="14">
        <v>196.4</v>
      </c>
      <c r="G88" s="14">
        <v>190.45</v>
      </c>
      <c r="H88" s="14">
        <v>180.25</v>
      </c>
      <c r="I88" s="14">
        <v>378.06666666666666</v>
      </c>
      <c r="J88" s="14">
        <v>16.335340012786187</v>
      </c>
      <c r="K88" s="14">
        <v>161.9</v>
      </c>
      <c r="L88" s="14">
        <v>178.8</v>
      </c>
      <c r="M88" s="14">
        <v>165.7</v>
      </c>
      <c r="N88" s="14">
        <v>337.6</v>
      </c>
      <c r="O88" s="14">
        <v>17.732456118654301</v>
      </c>
    </row>
    <row r="89" spans="1:15" x14ac:dyDescent="0.35">
      <c r="A89" s="1" t="s">
        <v>8</v>
      </c>
      <c r="B89" s="11">
        <v>63.95</v>
      </c>
      <c r="C89" s="11">
        <v>76.64</v>
      </c>
      <c r="D89" s="11">
        <v>88.34</v>
      </c>
      <c r="E89" s="11">
        <v>152.62</v>
      </c>
      <c r="F89" s="14">
        <v>98.91</v>
      </c>
      <c r="G89" s="14">
        <v>112.42</v>
      </c>
      <c r="H89" s="14">
        <v>105.2</v>
      </c>
      <c r="I89" s="14">
        <v>211.01999999999998</v>
      </c>
      <c r="J89" s="14">
        <v>13.520665664086224</v>
      </c>
      <c r="K89" s="14">
        <v>101.2</v>
      </c>
      <c r="L89" s="14">
        <v>105.03</v>
      </c>
      <c r="M89" s="14">
        <v>96.13</v>
      </c>
      <c r="N89" s="14">
        <v>201.57333333333335</v>
      </c>
      <c r="O89" s="14">
        <v>8.928747579214761</v>
      </c>
    </row>
    <row r="90" spans="1:15" x14ac:dyDescent="0.35">
      <c r="A90" s="1" t="s">
        <v>9</v>
      </c>
      <c r="B90" s="11">
        <v>121.9</v>
      </c>
      <c r="C90" s="11">
        <v>133.4</v>
      </c>
      <c r="D90" s="11">
        <v>123.4</v>
      </c>
      <c r="E90" s="11">
        <v>252.4666666666667</v>
      </c>
      <c r="F90" s="14">
        <v>118.14</v>
      </c>
      <c r="G90" s="14">
        <v>98.15</v>
      </c>
      <c r="H90" s="14">
        <v>136.15</v>
      </c>
      <c r="I90" s="14">
        <v>234.96000000000004</v>
      </c>
      <c r="J90" s="14">
        <v>19.00859542417572</v>
      </c>
      <c r="K90" s="14">
        <v>127</v>
      </c>
      <c r="L90" s="14">
        <v>139.69999999999999</v>
      </c>
      <c r="M90" s="14">
        <v>145</v>
      </c>
      <c r="N90" s="14">
        <v>274.46666666666664</v>
      </c>
      <c r="O90" s="14">
        <v>18.500090089870731</v>
      </c>
    </row>
    <row r="91" spans="1:15" x14ac:dyDescent="0.35">
      <c r="A91" s="1" t="s">
        <v>10</v>
      </c>
      <c r="B91" s="11">
        <v>4.6132999999999997</v>
      </c>
      <c r="C91" s="11">
        <v>6.54</v>
      </c>
      <c r="D91" s="11">
        <v>4.9394999999999998</v>
      </c>
      <c r="E91" s="11">
        <v>10.728533333333333</v>
      </c>
      <c r="F91" s="14">
        <v>12.739000000000001</v>
      </c>
      <c r="G91" s="14">
        <v>8.859</v>
      </c>
      <c r="H91" s="14">
        <v>10.509</v>
      </c>
      <c r="I91" s="14">
        <v>21.404666666666667</v>
      </c>
      <c r="J91" s="14">
        <v>3.8944233633919785</v>
      </c>
      <c r="K91" s="14">
        <v>58.51</v>
      </c>
      <c r="L91" s="14">
        <v>44.97</v>
      </c>
      <c r="M91" s="14">
        <v>48.72</v>
      </c>
      <c r="N91" s="14">
        <v>101.46666666666665</v>
      </c>
      <c r="O91" s="14">
        <v>13.981850139853989</v>
      </c>
    </row>
    <row r="92" spans="1:15" x14ac:dyDescent="0.35">
      <c r="A92" s="1" t="s">
        <v>11</v>
      </c>
      <c r="B92" s="11">
        <v>45.746000000000002</v>
      </c>
      <c r="C92" s="11">
        <v>29.503</v>
      </c>
      <c r="D92" s="11">
        <v>41.292000000000002</v>
      </c>
      <c r="E92" s="11">
        <v>77.694000000000003</v>
      </c>
      <c r="F92" s="14">
        <v>60.8</v>
      </c>
      <c r="G92" s="14">
        <v>50.215000000000003</v>
      </c>
      <c r="H92" s="14">
        <v>60.082999999999998</v>
      </c>
      <c r="I92" s="14">
        <v>114.06533333333334</v>
      </c>
      <c r="J92" s="14">
        <v>11.830292698548636</v>
      </c>
      <c r="K92" s="14">
        <v>64.322000000000003</v>
      </c>
      <c r="L92" s="14">
        <v>70.811000000000007</v>
      </c>
      <c r="M92" s="14">
        <v>59.636000000000003</v>
      </c>
      <c r="N92" s="14">
        <v>129.846</v>
      </c>
      <c r="O92" s="14">
        <v>11.22337863568721</v>
      </c>
    </row>
    <row r="93" spans="1:15" x14ac:dyDescent="0.35">
      <c r="A93" s="1" t="s">
        <v>14</v>
      </c>
      <c r="B93" s="11">
        <v>5.9649999999999999</v>
      </c>
      <c r="C93" s="11">
        <v>5.2809999999999997</v>
      </c>
      <c r="D93" s="11">
        <v>4.8140000000000001</v>
      </c>
      <c r="E93" s="11">
        <v>10.706666666666665</v>
      </c>
      <c r="F93" s="14">
        <v>10.757</v>
      </c>
      <c r="G93" s="14">
        <v>8.3689999999999998</v>
      </c>
      <c r="H93" s="14">
        <v>7.7110000000000003</v>
      </c>
      <c r="I93" s="14">
        <v>17.891333333333332</v>
      </c>
      <c r="J93" s="14">
        <v>3.2055809665852251</v>
      </c>
      <c r="K93" s="14">
        <v>24.18</v>
      </c>
      <c r="L93" s="14">
        <v>21.31</v>
      </c>
      <c r="M93" s="14">
        <v>21.54</v>
      </c>
      <c r="N93" s="14">
        <v>44.686666666666667</v>
      </c>
      <c r="O93" s="14">
        <v>3.1895036186424588</v>
      </c>
    </row>
    <row r="94" spans="1:15" x14ac:dyDescent="0.35">
      <c r="A94" s="1" t="s">
        <v>12</v>
      </c>
      <c r="B94" s="11">
        <v>37.11</v>
      </c>
      <c r="C94" s="11">
        <v>46.51</v>
      </c>
      <c r="D94" s="11">
        <v>34.270000000000003</v>
      </c>
      <c r="E94" s="11">
        <v>78.593333333333348</v>
      </c>
      <c r="F94" s="14">
        <v>73.75</v>
      </c>
      <c r="G94" s="14">
        <v>64.81</v>
      </c>
      <c r="H94" s="14">
        <v>58.73</v>
      </c>
      <c r="I94" s="14">
        <v>131.52666666666667</v>
      </c>
      <c r="J94" s="14">
        <v>15.110490836942835</v>
      </c>
      <c r="K94" s="14">
        <v>140.5</v>
      </c>
      <c r="L94" s="14">
        <v>144.6</v>
      </c>
      <c r="M94" s="14">
        <v>149.13</v>
      </c>
      <c r="N94" s="14">
        <v>289.48666666666668</v>
      </c>
      <c r="O94" s="14">
        <v>8.6335701383224563</v>
      </c>
    </row>
    <row r="95" spans="1:15" x14ac:dyDescent="0.35">
      <c r="A95" s="1" t="s">
        <v>0</v>
      </c>
      <c r="B95" s="11">
        <v>16.940000000000001</v>
      </c>
      <c r="C95" s="11">
        <v>12.62</v>
      </c>
      <c r="D95" s="11">
        <v>13.28</v>
      </c>
      <c r="E95" s="11">
        <v>28.560000000000002</v>
      </c>
      <c r="F95" s="14">
        <v>15.39</v>
      </c>
      <c r="G95" s="14">
        <v>17.59</v>
      </c>
      <c r="H95" s="14">
        <v>16.420000000000002</v>
      </c>
      <c r="I95" s="14">
        <v>32.933333333333337</v>
      </c>
      <c r="J95" s="14">
        <v>2.2014843477375283</v>
      </c>
      <c r="K95" s="14">
        <v>83.41</v>
      </c>
      <c r="L95" s="14">
        <v>59.21</v>
      </c>
      <c r="M95" s="14">
        <v>57.23</v>
      </c>
      <c r="N95" s="14">
        <v>133.23333333333332</v>
      </c>
      <c r="O95" s="14">
        <v>29.154219820350754</v>
      </c>
    </row>
    <row r="96" spans="1:15" x14ac:dyDescent="0.35">
      <c r="A96" s="1" t="s">
        <v>1</v>
      </c>
      <c r="B96" s="11">
        <v>149.80000000000001</v>
      </c>
      <c r="C96" s="11">
        <v>129.02000000000001</v>
      </c>
      <c r="D96" s="11">
        <v>124.71</v>
      </c>
      <c r="E96" s="11">
        <v>269.02</v>
      </c>
      <c r="F96" s="14">
        <v>135.80000000000001</v>
      </c>
      <c r="G96" s="14">
        <v>152.5</v>
      </c>
      <c r="H96" s="14">
        <v>153.9</v>
      </c>
      <c r="I96" s="14">
        <v>294.8</v>
      </c>
      <c r="J96" s="14">
        <v>20.140506448448598</v>
      </c>
      <c r="K96" s="14">
        <v>167.3</v>
      </c>
      <c r="L96" s="14">
        <v>173.6</v>
      </c>
      <c r="M96" s="14">
        <v>160</v>
      </c>
      <c r="N96" s="14">
        <v>333.93333333333334</v>
      </c>
      <c r="O96" s="14">
        <v>13.61224938551058</v>
      </c>
    </row>
    <row r="97" spans="1:15" x14ac:dyDescent="0.35">
      <c r="A97" s="3" t="s">
        <v>30</v>
      </c>
    </row>
    <row r="98" spans="1:15" x14ac:dyDescent="0.35">
      <c r="A98" s="2" t="s">
        <v>13</v>
      </c>
      <c r="B98" s="12" t="s">
        <v>32</v>
      </c>
      <c r="C98" s="12" t="s">
        <v>33</v>
      </c>
      <c r="D98" s="12" t="s">
        <v>34</v>
      </c>
      <c r="E98" s="12" t="s">
        <v>15</v>
      </c>
      <c r="F98" s="13" t="s">
        <v>21</v>
      </c>
      <c r="G98" s="13" t="s">
        <v>22</v>
      </c>
      <c r="H98" s="13" t="s">
        <v>23</v>
      </c>
      <c r="I98" s="13" t="s">
        <v>15</v>
      </c>
      <c r="J98" s="13" t="s">
        <v>16</v>
      </c>
      <c r="K98" s="13" t="s">
        <v>24</v>
      </c>
      <c r="L98" s="13" t="s">
        <v>25</v>
      </c>
      <c r="M98" s="13" t="s">
        <v>26</v>
      </c>
      <c r="N98" s="13" t="s">
        <v>15</v>
      </c>
      <c r="O98" s="13" t="s">
        <v>16</v>
      </c>
    </row>
    <row r="99" spans="1:15" x14ac:dyDescent="0.35">
      <c r="A99" s="1" t="s">
        <v>2</v>
      </c>
      <c r="B99" s="11">
        <f>B83/B35</f>
        <v>2.9974030573098038</v>
      </c>
      <c r="C99" s="11">
        <f t="shared" ref="B99:D112" si="21">C83/C35</f>
        <v>3.016517225106182</v>
      </c>
      <c r="D99" s="11">
        <f t="shared" si="21"/>
        <v>3.0379131561892421</v>
      </c>
      <c r="E99" s="11">
        <f>(B99+C99+D99)/3</f>
        <v>3.0172778128684095</v>
      </c>
      <c r="F99" s="11">
        <f>F83/F35</f>
        <v>4.1889739663093408</v>
      </c>
      <c r="G99" s="11">
        <f t="shared" ref="F99:H112" si="22">G83/G35</f>
        <v>4.0445714285714285</v>
      </c>
      <c r="H99" s="11">
        <f t="shared" si="22"/>
        <v>4.4779238287832825</v>
      </c>
      <c r="I99" s="11">
        <f>(F99+G99+H99)/3</f>
        <v>4.2371564078880173</v>
      </c>
      <c r="J99" s="11">
        <f>STDEV(F99:H99)</f>
        <v>0.22065750938888451</v>
      </c>
      <c r="K99" s="11">
        <f t="shared" ref="K99:M112" si="23">K83/K35</f>
        <v>7.889676525706836</v>
      </c>
      <c r="L99" s="11">
        <f t="shared" si="23"/>
        <v>8.0864154373208432</v>
      </c>
      <c r="M99" s="11">
        <f t="shared" si="23"/>
        <v>7.3713395638629278</v>
      </c>
      <c r="N99" s="11">
        <f>(K99+L99+M99)/3</f>
        <v>7.782477175630202</v>
      </c>
      <c r="O99" s="11">
        <f>STDEV(K99:M99)</f>
        <v>0.36939430381780342</v>
      </c>
    </row>
    <row r="100" spans="1:15" x14ac:dyDescent="0.35">
      <c r="A100" s="1" t="s">
        <v>3</v>
      </c>
      <c r="B100" s="11">
        <f t="shared" si="21"/>
        <v>13.572259377726086</v>
      </c>
      <c r="C100" s="11">
        <f t="shared" si="21"/>
        <v>16.361247493257729</v>
      </c>
      <c r="D100" s="11">
        <f t="shared" si="21"/>
        <v>10.143825635177089</v>
      </c>
      <c r="E100" s="11">
        <f t="shared" ref="E100:E111" si="24">(B100+C100+D100)/3</f>
        <v>13.359110835386966</v>
      </c>
      <c r="F100" s="11">
        <f t="shared" si="22"/>
        <v>19.262240107310529</v>
      </c>
      <c r="G100" s="11">
        <f t="shared" si="22"/>
        <v>16.316417910447761</v>
      </c>
      <c r="H100" s="11">
        <f t="shared" si="22"/>
        <v>15.870380289234065</v>
      </c>
      <c r="I100" s="11">
        <f t="shared" ref="I100:I112" si="25">(F100+G100+H100)/3</f>
        <v>17.149679435664115</v>
      </c>
      <c r="J100" s="11">
        <f t="shared" ref="J100:J112" si="26">STDEV(F100:H100)</f>
        <v>1.8430740173484195</v>
      </c>
      <c r="K100" s="11">
        <f t="shared" si="23"/>
        <v>35.52538370720189</v>
      </c>
      <c r="L100" s="11">
        <f t="shared" si="23"/>
        <v>37.155102040816324</v>
      </c>
      <c r="M100" s="11">
        <f t="shared" si="23"/>
        <v>36.883662326753466</v>
      </c>
      <c r="N100" s="11">
        <f t="shared" ref="N100:N112" si="27">(K100+L100+M100)/3</f>
        <v>36.52138269159056</v>
      </c>
      <c r="O100" s="11">
        <f t="shared" ref="O100:O112" si="28">STDEV(K100:M100)</f>
        <v>0.87317258447003399</v>
      </c>
    </row>
    <row r="101" spans="1:15" x14ac:dyDescent="0.35">
      <c r="A101" s="1" t="s">
        <v>4</v>
      </c>
      <c r="B101" s="11">
        <f t="shared" si="21"/>
        <v>2.8088152723189221</v>
      </c>
      <c r="C101" s="11">
        <f t="shared" si="21"/>
        <v>2.9663503019844693</v>
      </c>
      <c r="D101" s="11">
        <f t="shared" si="21"/>
        <v>2.7779527559055119</v>
      </c>
      <c r="E101" s="11">
        <f t="shared" si="24"/>
        <v>2.8510394434029678</v>
      </c>
      <c r="F101" s="11">
        <f t="shared" si="22"/>
        <v>6.1941803514837224</v>
      </c>
      <c r="G101" s="11">
        <f t="shared" si="22"/>
        <v>7.1934341808818791</v>
      </c>
      <c r="H101" s="11">
        <f t="shared" si="22"/>
        <v>5.9889434889434883</v>
      </c>
      <c r="I101" s="11">
        <f t="shared" si="25"/>
        <v>6.4588526737696972</v>
      </c>
      <c r="J101" s="11">
        <f t="shared" si="26"/>
        <v>0.64438966113660134</v>
      </c>
      <c r="K101" s="11">
        <f t="shared" si="23"/>
        <v>13.39058524173028</v>
      </c>
      <c r="L101" s="11">
        <f t="shared" si="23"/>
        <v>17.909018355945733</v>
      </c>
      <c r="M101" s="11">
        <f t="shared" si="23"/>
        <v>17.985939925134666</v>
      </c>
      <c r="N101" s="11">
        <f t="shared" si="27"/>
        <v>16.428514507603559</v>
      </c>
      <c r="O101" s="11">
        <f t="shared" si="28"/>
        <v>2.6312050281741075</v>
      </c>
    </row>
    <row r="102" spans="1:15" x14ac:dyDescent="0.35">
      <c r="A102" s="1" t="s">
        <v>5</v>
      </c>
      <c r="B102" s="11">
        <f t="shared" si="21"/>
        <v>1.4409713252389564</v>
      </c>
      <c r="C102" s="11">
        <f t="shared" si="21"/>
        <v>1.4706723891273246</v>
      </c>
      <c r="D102" s="11">
        <f t="shared" si="21"/>
        <v>1.0139765554553652</v>
      </c>
      <c r="E102" s="11">
        <f t="shared" si="24"/>
        <v>1.3085400899405488</v>
      </c>
      <c r="F102" s="11">
        <f t="shared" si="22"/>
        <v>2.6665186500888103</v>
      </c>
      <c r="G102" s="11">
        <f t="shared" si="22"/>
        <v>2.3920130399348003</v>
      </c>
      <c r="H102" s="11">
        <f t="shared" si="22"/>
        <v>1.8124481327800828</v>
      </c>
      <c r="I102" s="11">
        <f t="shared" si="25"/>
        <v>2.290326607601231</v>
      </c>
      <c r="J102" s="11">
        <f t="shared" si="26"/>
        <v>0.43602088255558163</v>
      </c>
      <c r="K102" s="11">
        <f t="shared" si="23"/>
        <v>5.0680599477519594</v>
      </c>
      <c r="L102" s="11">
        <f t="shared" si="23"/>
        <v>6.3124629666205809</v>
      </c>
      <c r="M102" s="11">
        <f t="shared" si="23"/>
        <v>4.4315286624203818</v>
      </c>
      <c r="N102" s="11">
        <f t="shared" si="27"/>
        <v>5.2706838589309744</v>
      </c>
      <c r="O102" s="11">
        <f t="shared" si="28"/>
        <v>0.95669786307662363</v>
      </c>
    </row>
    <row r="103" spans="1:15" x14ac:dyDescent="0.35">
      <c r="A103" s="1" t="s">
        <v>6</v>
      </c>
      <c r="B103" s="11">
        <f t="shared" si="21"/>
        <v>1.3688774690862371</v>
      </c>
      <c r="C103" s="11">
        <f t="shared" si="21"/>
        <v>1.4955879704664146</v>
      </c>
      <c r="D103" s="11">
        <f t="shared" si="21"/>
        <v>1.0462362559909781</v>
      </c>
      <c r="E103" s="11">
        <f t="shared" si="24"/>
        <v>1.3035672318478766</v>
      </c>
      <c r="F103" s="11">
        <f t="shared" si="22"/>
        <v>2.2617734408145949</v>
      </c>
      <c r="G103" s="11">
        <f t="shared" si="22"/>
        <v>1.8025469344886438</v>
      </c>
      <c r="H103" s="11">
        <f t="shared" si="22"/>
        <v>1.3372687439143136</v>
      </c>
      <c r="I103" s="11">
        <f t="shared" si="25"/>
        <v>1.800529706405851</v>
      </c>
      <c r="J103" s="11">
        <f t="shared" si="26"/>
        <v>0.4622556495647438</v>
      </c>
      <c r="K103" s="11">
        <f t="shared" si="23"/>
        <v>4.7207223156590246</v>
      </c>
      <c r="L103" s="11">
        <f t="shared" si="23"/>
        <v>5.391051291378683</v>
      </c>
      <c r="M103" s="11">
        <f t="shared" si="23"/>
        <v>4.5897889154622016</v>
      </c>
      <c r="N103" s="11">
        <f t="shared" si="27"/>
        <v>4.9005208408333027</v>
      </c>
      <c r="O103" s="11">
        <f t="shared" si="28"/>
        <v>0.42982668717282485</v>
      </c>
    </row>
    <row r="104" spans="1:15" x14ac:dyDescent="0.35">
      <c r="A104" s="1" t="s">
        <v>7</v>
      </c>
      <c r="B104" s="11">
        <f t="shared" si="21"/>
        <v>4.2477558348294435</v>
      </c>
      <c r="C104" s="11">
        <f t="shared" si="21"/>
        <v>5.565501263689975</v>
      </c>
      <c r="D104" s="11">
        <f t="shared" si="21"/>
        <v>4.1826335099877694</v>
      </c>
      <c r="E104" s="11">
        <f t="shared" si="24"/>
        <v>4.665296869502396</v>
      </c>
      <c r="F104" s="11">
        <f t="shared" si="22"/>
        <v>16.138044371405094</v>
      </c>
      <c r="G104" s="11">
        <f t="shared" si="22"/>
        <v>19.249039822114412</v>
      </c>
      <c r="H104" s="11">
        <f t="shared" si="22"/>
        <v>14.823190789473683</v>
      </c>
      <c r="I104" s="11">
        <f t="shared" si="25"/>
        <v>16.736758327664397</v>
      </c>
      <c r="J104" s="11">
        <f t="shared" si="26"/>
        <v>2.2728569501832894</v>
      </c>
      <c r="K104" s="11">
        <f t="shared" si="23"/>
        <v>76.403964134025472</v>
      </c>
      <c r="L104" s="11">
        <f t="shared" si="23"/>
        <v>103.76646741338286</v>
      </c>
      <c r="M104" s="11">
        <f t="shared" si="23"/>
        <v>116.52601969057665</v>
      </c>
      <c r="N104" s="11">
        <f t="shared" si="27"/>
        <v>98.898817079328339</v>
      </c>
      <c r="O104" s="11">
        <f t="shared" si="28"/>
        <v>20.499154869206421</v>
      </c>
    </row>
    <row r="105" spans="1:15" x14ac:dyDescent="0.35">
      <c r="A105" s="1" t="s">
        <v>8</v>
      </c>
      <c r="B105" s="11">
        <f t="shared" si="21"/>
        <v>7.7892813641900114</v>
      </c>
      <c r="C105" s="11">
        <f t="shared" si="21"/>
        <v>15.242641209228323</v>
      </c>
      <c r="D105" s="11">
        <f t="shared" si="21"/>
        <v>14.26910030689711</v>
      </c>
      <c r="E105" s="11">
        <f t="shared" si="24"/>
        <v>12.433674293438481</v>
      </c>
      <c r="F105" s="11">
        <f t="shared" si="22"/>
        <v>42.818181818181813</v>
      </c>
      <c r="G105" s="11">
        <f t="shared" si="22"/>
        <v>31.9556566230813</v>
      </c>
      <c r="H105" s="11">
        <f t="shared" si="22"/>
        <v>31.225883051350547</v>
      </c>
      <c r="I105" s="11">
        <f t="shared" si="25"/>
        <v>35.333240497537886</v>
      </c>
      <c r="J105" s="11">
        <f t="shared" si="26"/>
        <v>6.4924111312062793</v>
      </c>
      <c r="K105" s="11">
        <f t="shared" si="23"/>
        <v>74.950748766867619</v>
      </c>
      <c r="L105" s="11">
        <f t="shared" si="23"/>
        <v>94.146647543922555</v>
      </c>
      <c r="M105" s="11">
        <f t="shared" si="23"/>
        <v>66.585855787213404</v>
      </c>
      <c r="N105" s="11">
        <f t="shared" si="27"/>
        <v>78.561084032667864</v>
      </c>
      <c r="O105" s="11">
        <f t="shared" si="28"/>
        <v>14.130647582923602</v>
      </c>
    </row>
    <row r="106" spans="1:15" x14ac:dyDescent="0.35">
      <c r="A106" s="1" t="s">
        <v>9</v>
      </c>
      <c r="B106" s="11">
        <f t="shared" si="21"/>
        <v>29.558680892337541</v>
      </c>
      <c r="C106" s="11">
        <f t="shared" si="21"/>
        <v>27.004048582995949</v>
      </c>
      <c r="D106" s="11">
        <f t="shared" si="21"/>
        <v>39.00126422250316</v>
      </c>
      <c r="E106" s="11">
        <f t="shared" si="24"/>
        <v>31.854664565945551</v>
      </c>
      <c r="F106" s="11">
        <f t="shared" si="22"/>
        <v>68.311919603103931</v>
      </c>
      <c r="G106" s="11">
        <f t="shared" si="22"/>
        <v>64.665963895111346</v>
      </c>
      <c r="H106" s="11">
        <f t="shared" si="22"/>
        <v>67.511280805275945</v>
      </c>
      <c r="I106" s="11">
        <f t="shared" si="25"/>
        <v>66.829721434497074</v>
      </c>
      <c r="J106" s="11">
        <f t="shared" si="26"/>
        <v>1.916152561275666</v>
      </c>
      <c r="K106" s="11">
        <f t="shared" si="23"/>
        <v>108.64915732740182</v>
      </c>
      <c r="L106" s="11">
        <f t="shared" si="23"/>
        <v>123.15965793881688</v>
      </c>
      <c r="M106" s="11">
        <f t="shared" si="23"/>
        <v>128.51192058849597</v>
      </c>
      <c r="N106" s="11">
        <f t="shared" si="27"/>
        <v>120.10691195157155</v>
      </c>
      <c r="O106" s="11">
        <f t="shared" si="28"/>
        <v>10.277245965653913</v>
      </c>
    </row>
    <row r="107" spans="1:15" x14ac:dyDescent="0.35">
      <c r="A107" s="1" t="s">
        <v>10</v>
      </c>
      <c r="B107" s="11">
        <f t="shared" si="21"/>
        <v>1.4678014635698378</v>
      </c>
      <c r="C107" s="11">
        <f t="shared" si="21"/>
        <v>2.5647058823529414</v>
      </c>
      <c r="D107" s="11">
        <f t="shared" si="21"/>
        <v>1.335</v>
      </c>
      <c r="E107" s="11">
        <f t="shared" si="24"/>
        <v>1.789169115307593</v>
      </c>
      <c r="F107" s="11">
        <f t="shared" si="22"/>
        <v>3.0187203791469197</v>
      </c>
      <c r="G107" s="11">
        <f t="shared" si="22"/>
        <v>2.7091743119266054</v>
      </c>
      <c r="H107" s="11">
        <f t="shared" si="22"/>
        <v>1.9529827169671066</v>
      </c>
      <c r="I107" s="11">
        <f t="shared" si="25"/>
        <v>2.5602924693468769</v>
      </c>
      <c r="J107" s="11">
        <f t="shared" si="26"/>
        <v>0.54824587862981289</v>
      </c>
      <c r="K107" s="11">
        <f t="shared" si="23"/>
        <v>5.0051325919589393</v>
      </c>
      <c r="L107" s="11">
        <f t="shared" si="23"/>
        <v>4.9201312910284463</v>
      </c>
      <c r="M107" s="11">
        <f t="shared" si="23"/>
        <v>5.8698795180722882</v>
      </c>
      <c r="N107" s="11">
        <f t="shared" si="27"/>
        <v>5.2650478003532246</v>
      </c>
      <c r="O107" s="11">
        <f t="shared" si="28"/>
        <v>0.52552103702821817</v>
      </c>
    </row>
    <row r="108" spans="1:15" x14ac:dyDescent="0.35">
      <c r="A108" s="1" t="s">
        <v>11</v>
      </c>
      <c r="B108" s="11">
        <f t="shared" si="21"/>
        <v>22.745624502784409</v>
      </c>
      <c r="C108" s="11">
        <f t="shared" si="21"/>
        <v>9.3958598726114655</v>
      </c>
      <c r="D108" s="11">
        <f t="shared" si="21"/>
        <v>22.650575973669778</v>
      </c>
      <c r="E108" s="11">
        <f t="shared" si="24"/>
        <v>18.264020116355216</v>
      </c>
      <c r="F108" s="11">
        <f t="shared" si="22"/>
        <v>35.207597428918866</v>
      </c>
      <c r="G108" s="11">
        <f t="shared" si="22"/>
        <v>25.462704730997416</v>
      </c>
      <c r="H108" s="11">
        <f t="shared" si="22"/>
        <v>23.451600312256051</v>
      </c>
      <c r="I108" s="11">
        <f t="shared" si="25"/>
        <v>28.04063415739078</v>
      </c>
      <c r="J108" s="11">
        <f t="shared" si="26"/>
        <v>6.2876988753712224</v>
      </c>
      <c r="K108" s="11">
        <f t="shared" si="23"/>
        <v>23.735055350553505</v>
      </c>
      <c r="L108" s="11">
        <f t="shared" si="23"/>
        <v>39.122099447513818</v>
      </c>
      <c r="M108" s="11">
        <f t="shared" si="23"/>
        <v>28.949514563106796</v>
      </c>
      <c r="N108" s="11">
        <f t="shared" si="27"/>
        <v>30.602223120391375</v>
      </c>
      <c r="O108" s="11">
        <f t="shared" si="28"/>
        <v>7.8255265440698043</v>
      </c>
    </row>
    <row r="109" spans="1:15" x14ac:dyDescent="0.35">
      <c r="A109" s="1" t="s">
        <v>14</v>
      </c>
      <c r="B109" s="11">
        <f t="shared" si="21"/>
        <v>4.484962406015037</v>
      </c>
      <c r="C109" s="11">
        <f t="shared" si="21"/>
        <v>3.592517006802721</v>
      </c>
      <c r="D109" s="11">
        <f t="shared" si="21"/>
        <v>2.645054945054945</v>
      </c>
      <c r="E109" s="11">
        <f t="shared" si="24"/>
        <v>3.574178119290901</v>
      </c>
      <c r="F109" s="11">
        <f t="shared" si="22"/>
        <v>7.4701388888888891</v>
      </c>
      <c r="G109" s="11">
        <f t="shared" si="22"/>
        <v>4.7741015402167717</v>
      </c>
      <c r="H109" s="11">
        <f t="shared" si="22"/>
        <v>3.3820175438596496</v>
      </c>
      <c r="I109" s="11">
        <f t="shared" si="25"/>
        <v>5.2087526576551033</v>
      </c>
      <c r="J109" s="11">
        <f t="shared" si="26"/>
        <v>2.078430953469157</v>
      </c>
      <c r="K109" s="11">
        <f t="shared" si="23"/>
        <v>5.9337423312883431</v>
      </c>
      <c r="L109" s="11">
        <f t="shared" si="23"/>
        <v>4.0878572798772295</v>
      </c>
      <c r="M109" s="11">
        <f t="shared" si="23"/>
        <v>6.9127086007702179</v>
      </c>
      <c r="N109" s="11">
        <f t="shared" si="27"/>
        <v>5.6447694039785974</v>
      </c>
      <c r="O109" s="11">
        <f t="shared" si="28"/>
        <v>1.4344250628130315</v>
      </c>
    </row>
    <row r="110" spans="1:15" x14ac:dyDescent="0.35">
      <c r="A110" s="1" t="s">
        <v>12</v>
      </c>
      <c r="B110" s="11">
        <f t="shared" si="21"/>
        <v>6.6985559566787005</v>
      </c>
      <c r="C110" s="11">
        <f t="shared" si="21"/>
        <v>6.1197368421052634</v>
      </c>
      <c r="D110" s="11">
        <f t="shared" si="21"/>
        <v>7.2935067146231951</v>
      </c>
      <c r="E110" s="11">
        <f t="shared" si="24"/>
        <v>6.70393317113572</v>
      </c>
      <c r="F110" s="11">
        <f t="shared" si="22"/>
        <v>8.6056009334889154</v>
      </c>
      <c r="G110" s="11">
        <f t="shared" si="22"/>
        <v>9.4751461988304104</v>
      </c>
      <c r="H110" s="11">
        <f t="shared" si="22"/>
        <v>11.536202619167813</v>
      </c>
      <c r="I110" s="11">
        <f t="shared" si="25"/>
        <v>9.8723165838290452</v>
      </c>
      <c r="J110" s="11">
        <f t="shared" si="26"/>
        <v>1.5051294947830844</v>
      </c>
      <c r="K110" s="11">
        <f t="shared" si="23"/>
        <v>16.766109785202861</v>
      </c>
      <c r="L110" s="11">
        <f t="shared" si="23"/>
        <v>10.269886363636363</v>
      </c>
      <c r="M110" s="11">
        <f t="shared" si="23"/>
        <v>13.07011393514461</v>
      </c>
      <c r="N110" s="11">
        <f t="shared" si="27"/>
        <v>13.368703361327945</v>
      </c>
      <c r="O110" s="11">
        <f t="shared" si="28"/>
        <v>3.258388623199918</v>
      </c>
    </row>
    <row r="111" spans="1:15" x14ac:dyDescent="0.35">
      <c r="A111" s="1" t="s">
        <v>0</v>
      </c>
      <c r="B111" s="11">
        <f t="shared" si="21"/>
        <v>35.565819861431876</v>
      </c>
      <c r="C111" s="11">
        <f t="shared" si="21"/>
        <v>36.463449869979769</v>
      </c>
      <c r="D111" s="11">
        <f t="shared" si="21"/>
        <v>36.543753439735823</v>
      </c>
      <c r="E111" s="11">
        <f t="shared" si="24"/>
        <v>36.191007723715821</v>
      </c>
      <c r="F111" s="11">
        <f t="shared" si="22"/>
        <v>48.579545454545453</v>
      </c>
      <c r="G111" s="11">
        <f t="shared" si="22"/>
        <v>80.209758321933421</v>
      </c>
      <c r="H111" s="11">
        <f t="shared" si="22"/>
        <v>60.168559912055713</v>
      </c>
      <c r="I111" s="11">
        <f t="shared" si="25"/>
        <v>62.98595456284486</v>
      </c>
      <c r="J111" s="11">
        <f t="shared" si="26"/>
        <v>16.00221472086881</v>
      </c>
      <c r="K111" s="11">
        <f t="shared" si="23"/>
        <v>260.65625</v>
      </c>
      <c r="L111" s="11">
        <f t="shared" si="23"/>
        <v>148.02500000000001</v>
      </c>
      <c r="M111" s="11">
        <f t="shared" si="23"/>
        <v>112.21568627450979</v>
      </c>
      <c r="N111" s="11">
        <f t="shared" si="27"/>
        <v>173.63231209150328</v>
      </c>
      <c r="O111" s="11">
        <f>STDEV(K111:M111)</f>
        <v>77.46257847631378</v>
      </c>
    </row>
    <row r="112" spans="1:15" x14ac:dyDescent="0.35">
      <c r="A112" s="1" t="s">
        <v>1</v>
      </c>
      <c r="B112" s="11">
        <f t="shared" si="21"/>
        <v>207.65178818963128</v>
      </c>
      <c r="C112" s="11">
        <f t="shared" si="21"/>
        <v>193.84014423076925</v>
      </c>
      <c r="D112" s="11">
        <f t="shared" si="21"/>
        <v>162.53095269125504</v>
      </c>
      <c r="E112" s="11">
        <f>(B112+C112+D112)/3</f>
        <v>188.00762837055186</v>
      </c>
      <c r="F112" s="11">
        <f t="shared" si="22"/>
        <v>263.48467209934034</v>
      </c>
      <c r="G112" s="11">
        <f t="shared" si="22"/>
        <v>284.03799590240266</v>
      </c>
      <c r="H112" s="11">
        <f t="shared" si="22"/>
        <v>272.05232455365035</v>
      </c>
      <c r="I112" s="11">
        <f t="shared" si="25"/>
        <v>273.19166418513112</v>
      </c>
      <c r="J112" s="11">
        <f t="shared" si="26"/>
        <v>10.323921296449281</v>
      </c>
      <c r="K112" s="11">
        <f t="shared" si="23"/>
        <v>422.47474747474746</v>
      </c>
      <c r="L112" s="11">
        <f t="shared" si="23"/>
        <v>680.78431372549016</v>
      </c>
      <c r="M112" s="11">
        <f>M96/M48</f>
        <v>533.33333333333337</v>
      </c>
      <c r="N112" s="11">
        <f t="shared" si="27"/>
        <v>545.53079817785704</v>
      </c>
      <c r="O112" s="11">
        <f t="shared" si="28"/>
        <v>129.58603943186424</v>
      </c>
    </row>
    <row r="113" spans="1:15" x14ac:dyDescent="0.35">
      <c r="A113" s="3" t="s">
        <v>31</v>
      </c>
    </row>
    <row r="114" spans="1:15" x14ac:dyDescent="0.35">
      <c r="A114" s="2" t="s">
        <v>13</v>
      </c>
      <c r="B114" s="12" t="s">
        <v>32</v>
      </c>
      <c r="C114" s="12" t="s">
        <v>33</v>
      </c>
      <c r="D114" s="12" t="s">
        <v>34</v>
      </c>
      <c r="E114" s="12" t="s">
        <v>15</v>
      </c>
      <c r="F114" s="13" t="s">
        <v>21</v>
      </c>
      <c r="G114" s="13" t="s">
        <v>22</v>
      </c>
      <c r="H114" s="13" t="s">
        <v>23</v>
      </c>
      <c r="I114" s="13" t="s">
        <v>15</v>
      </c>
      <c r="J114" s="13" t="s">
        <v>16</v>
      </c>
      <c r="K114" s="13" t="s">
        <v>24</v>
      </c>
      <c r="L114" s="13" t="s">
        <v>25</v>
      </c>
      <c r="M114" s="13" t="s">
        <v>26</v>
      </c>
      <c r="N114" s="13" t="s">
        <v>15</v>
      </c>
      <c r="O114" s="13" t="s">
        <v>16</v>
      </c>
    </row>
    <row r="115" spans="1:15" x14ac:dyDescent="0.35">
      <c r="A115" s="1" t="s">
        <v>2</v>
      </c>
      <c r="B115" s="11">
        <f>B19/B3</f>
        <v>0.81213976945244937</v>
      </c>
      <c r="C115" s="11">
        <f t="shared" ref="C115:D115" si="29">C19/C3</f>
        <v>1.0147058823529411</v>
      </c>
      <c r="D115" s="11">
        <f t="shared" si="29"/>
        <v>0.72999999999999987</v>
      </c>
      <c r="E115" s="11">
        <f>(B115+C115+D115)/3</f>
        <v>0.85228188393513016</v>
      </c>
      <c r="F115" s="11">
        <f>F19/F3</f>
        <v>0.7602636534839925</v>
      </c>
      <c r="G115" s="11">
        <f t="shared" ref="G115:H115" si="30">G19/G3</f>
        <v>0.69039855072463763</v>
      </c>
      <c r="H115" s="11">
        <f t="shared" si="30"/>
        <v>0.91440677966101724</v>
      </c>
      <c r="I115" s="11">
        <f>(F115+G115+H115)/3</f>
        <v>0.7883563279565492</v>
      </c>
      <c r="J115" s="11">
        <f>STDEV(F115:H115)</f>
        <v>0.11461596933703866</v>
      </c>
      <c r="K115" s="11">
        <f>K19/K3</f>
        <v>0.65602836879432636</v>
      </c>
      <c r="L115" s="11">
        <f t="shared" ref="L115:M115" si="31">L19/L3</f>
        <v>0.8141025641025641</v>
      </c>
      <c r="M115" s="11">
        <f t="shared" si="31"/>
        <v>0.72407407407407409</v>
      </c>
      <c r="N115" s="11">
        <f>(K115+L115+M115)/3</f>
        <v>0.73140166899032144</v>
      </c>
      <c r="O115" s="11">
        <f>STDEV(K115:M115)</f>
        <v>7.9291443681075602E-2</v>
      </c>
    </row>
    <row r="116" spans="1:15" x14ac:dyDescent="0.35">
      <c r="A116" s="1" t="s">
        <v>3</v>
      </c>
      <c r="B116" s="11">
        <f t="shared" ref="B116:D116" si="32">B20/B4</f>
        <v>6.7800598894348907</v>
      </c>
      <c r="C116" s="11">
        <f t="shared" si="32"/>
        <v>15.036184210526315</v>
      </c>
      <c r="D116" s="11">
        <f t="shared" si="32"/>
        <v>8.09129861568886</v>
      </c>
      <c r="E116" s="11">
        <f t="shared" ref="E116:E128" si="33">(B116+C116+D116)/3</f>
        <v>9.9691809052166889</v>
      </c>
      <c r="F116" s="11">
        <f t="shared" ref="F116:H116" si="34">F20/F4</f>
        <v>20.49922480620155</v>
      </c>
      <c r="G116" s="11">
        <f t="shared" si="34"/>
        <v>12.471969265793966</v>
      </c>
      <c r="H116" s="11">
        <f t="shared" si="34"/>
        <v>15.67095357590966</v>
      </c>
      <c r="I116" s="11">
        <f t="shared" ref="I116:I128" si="35">(F116+G116+H116)/3</f>
        <v>16.214049215968391</v>
      </c>
      <c r="J116" s="11">
        <f t="shared" ref="J116:J127" si="36">STDEV(F116:H116)</f>
        <v>4.0410917501882038</v>
      </c>
      <c r="K116" s="11">
        <f t="shared" ref="K116:M116" si="37">K20/K4</f>
        <v>8.6363636363636367</v>
      </c>
      <c r="L116" s="11">
        <f t="shared" si="37"/>
        <v>13.375973303670747</v>
      </c>
      <c r="M116" s="11">
        <f t="shared" si="37"/>
        <v>12.418579675124178</v>
      </c>
      <c r="N116" s="11">
        <f t="shared" ref="N116:N128" si="38">(K116+L116+M116)/3</f>
        <v>11.476972205052855</v>
      </c>
      <c r="O116" s="11">
        <f t="shared" ref="O116:O127" si="39">STDEV(K116:M116)</f>
        <v>2.5061810430171083</v>
      </c>
    </row>
    <row r="117" spans="1:15" x14ac:dyDescent="0.35">
      <c r="A117" s="1" t="s">
        <v>4</v>
      </c>
      <c r="B117" s="11">
        <f t="shared" ref="B117:D117" si="40">B21/B5</f>
        <v>8.5316068924063302</v>
      </c>
      <c r="C117" s="11">
        <f t="shared" si="40"/>
        <v>11.977827763496144</v>
      </c>
      <c r="D117" s="11">
        <f t="shared" si="40"/>
        <v>7.8623751387347394</v>
      </c>
      <c r="E117" s="11">
        <f t="shared" si="33"/>
        <v>9.4572699315457385</v>
      </c>
      <c r="F117" s="11">
        <f t="shared" ref="F117:H117" si="41">F21/F5</f>
        <v>10.30569105691057</v>
      </c>
      <c r="G117" s="11">
        <f t="shared" si="41"/>
        <v>6.6819893973214279</v>
      </c>
      <c r="H117" s="11">
        <f t="shared" si="41"/>
        <v>7.8422732107582434</v>
      </c>
      <c r="I117" s="11">
        <f t="shared" si="35"/>
        <v>8.276651221663414</v>
      </c>
      <c r="J117" s="11">
        <f t="shared" si="36"/>
        <v>1.8504909137025529</v>
      </c>
      <c r="K117" s="11">
        <f t="shared" ref="K117:M117" si="42">K21/K5</f>
        <v>6.792954469923564</v>
      </c>
      <c r="L117" s="11">
        <f t="shared" si="42"/>
        <v>10.141135426577865</v>
      </c>
      <c r="M117" s="11">
        <f t="shared" si="42"/>
        <v>12.583204374290725</v>
      </c>
      <c r="N117" s="11">
        <f t="shared" si="38"/>
        <v>9.8390980902640521</v>
      </c>
      <c r="O117" s="11">
        <f t="shared" si="39"/>
        <v>2.9069173368280739</v>
      </c>
    </row>
    <row r="118" spans="1:15" x14ac:dyDescent="0.35">
      <c r="A118" s="1" t="s">
        <v>5</v>
      </c>
      <c r="B118" s="11">
        <f t="shared" ref="B118:D118" si="43">B22/B6</f>
        <v>0.77207465900933236</v>
      </c>
      <c r="C118" s="11">
        <f t="shared" si="43"/>
        <v>1.2962962962962963</v>
      </c>
      <c r="D118" s="11">
        <f t="shared" si="43"/>
        <v>0.66359583952451695</v>
      </c>
      <c r="E118" s="11">
        <f t="shared" si="33"/>
        <v>0.91065559827671516</v>
      </c>
      <c r="F118" s="11">
        <f t="shared" ref="F118:H118" si="44">F22/F6</f>
        <v>0.710952380952381</v>
      </c>
      <c r="G118" s="11">
        <f t="shared" si="44"/>
        <v>0.57223602484472047</v>
      </c>
      <c r="H118" s="11">
        <f t="shared" si="44"/>
        <v>0.79185082872928181</v>
      </c>
      <c r="I118" s="11">
        <f t="shared" si="35"/>
        <v>0.6916797448421278</v>
      </c>
      <c r="J118" s="11">
        <f t="shared" si="36"/>
        <v>0.11106863372839353</v>
      </c>
      <c r="K118" s="11">
        <f t="shared" ref="K118:M118" si="45">K22/K6</f>
        <v>0.51359867330016595</v>
      </c>
      <c r="L118" s="11">
        <f t="shared" si="45"/>
        <v>0.59628080985915488</v>
      </c>
      <c r="M118" s="11">
        <f t="shared" si="45"/>
        <v>0.87159011252536445</v>
      </c>
      <c r="N118" s="11">
        <f t="shared" si="38"/>
        <v>0.66048986522822839</v>
      </c>
      <c r="O118" s="11">
        <f t="shared" si="39"/>
        <v>0.18743417440043791</v>
      </c>
    </row>
    <row r="119" spans="1:15" x14ac:dyDescent="0.35">
      <c r="A119" s="1" t="s">
        <v>6</v>
      </c>
      <c r="B119" s="11">
        <f t="shared" ref="B119:D119" si="46">B23/B7</f>
        <v>0.84106412005457032</v>
      </c>
      <c r="C119" s="11">
        <f t="shared" si="46"/>
        <v>1.1077478042659974</v>
      </c>
      <c r="D119" s="11">
        <f t="shared" si="46"/>
        <v>0.83489838822704976</v>
      </c>
      <c r="E119" s="11">
        <f t="shared" si="33"/>
        <v>0.92790343751587245</v>
      </c>
      <c r="F119" s="11">
        <f t="shared" ref="F119:H119" si="47">F23/F7</f>
        <v>0.78217362491716358</v>
      </c>
      <c r="G119" s="11">
        <f t="shared" si="47"/>
        <v>0.7369232329378359</v>
      </c>
      <c r="H119" s="11">
        <f t="shared" si="47"/>
        <v>1.0413480233311732</v>
      </c>
      <c r="I119" s="11">
        <f t="shared" si="35"/>
        <v>0.85348162706205744</v>
      </c>
      <c r="J119" s="11">
        <f t="shared" si="36"/>
        <v>0.16426270614150121</v>
      </c>
      <c r="K119" s="11">
        <f t="shared" ref="K119:M119" si="48">K23/K7</f>
        <v>0.52201673271686488</v>
      </c>
      <c r="L119" s="11">
        <f t="shared" si="48"/>
        <v>0.55486678335278106</v>
      </c>
      <c r="M119" s="11">
        <f t="shared" si="48"/>
        <v>0.9090214797136037</v>
      </c>
      <c r="N119" s="11">
        <f t="shared" si="38"/>
        <v>0.66196833192774995</v>
      </c>
      <c r="O119" s="11">
        <f t="shared" si="39"/>
        <v>0.21458384102692762</v>
      </c>
    </row>
    <row r="120" spans="1:15" x14ac:dyDescent="0.35">
      <c r="A120" s="1" t="s">
        <v>7</v>
      </c>
      <c r="B120" s="11">
        <f t="shared" ref="B120:D120" si="49">B24/B8</f>
        <v>3.4029569527430743</v>
      </c>
      <c r="C120" s="11">
        <f t="shared" si="49"/>
        <v>5.492713747070213</v>
      </c>
      <c r="D120" s="11">
        <f t="shared" si="49"/>
        <v>3.9047619047619042</v>
      </c>
      <c r="E120" s="11">
        <f t="shared" si="33"/>
        <v>4.2668108681917305</v>
      </c>
      <c r="F120" s="11">
        <f t="shared" ref="F120:H120" si="50">F24/F8</f>
        <v>6.2790574530050307</v>
      </c>
      <c r="G120" s="11">
        <f t="shared" si="50"/>
        <v>3.1941422134300481</v>
      </c>
      <c r="H120" s="11">
        <f t="shared" si="50"/>
        <v>4.6224625623960076</v>
      </c>
      <c r="I120" s="11">
        <f t="shared" si="35"/>
        <v>4.6985540762770288</v>
      </c>
      <c r="J120" s="11">
        <f t="shared" si="36"/>
        <v>1.5438646144348349</v>
      </c>
      <c r="K120" s="11">
        <f t="shared" ref="K120:M120" si="51">K24/K8</f>
        <v>2.9865940933373656</v>
      </c>
      <c r="L120" s="11">
        <f t="shared" si="51"/>
        <v>3.0589281976135649</v>
      </c>
      <c r="M120" s="11">
        <f t="shared" si="51"/>
        <v>6.5805829404200598</v>
      </c>
      <c r="N120" s="11">
        <f t="shared" si="38"/>
        <v>4.2087017437903302</v>
      </c>
      <c r="O120" s="11">
        <f t="shared" si="39"/>
        <v>2.0544277460778746</v>
      </c>
    </row>
    <row r="121" spans="1:15" x14ac:dyDescent="0.35">
      <c r="A121" s="1" t="s">
        <v>8</v>
      </c>
      <c r="B121" s="11">
        <f t="shared" ref="B121:D121" si="52">B25/B9</f>
        <v>1.2292393840170586</v>
      </c>
      <c r="C121" s="11">
        <f t="shared" si="52"/>
        <v>2.7397361625936858</v>
      </c>
      <c r="D121" s="11">
        <f t="shared" si="52"/>
        <v>2.1554644808743166</v>
      </c>
      <c r="E121" s="11">
        <f t="shared" si="33"/>
        <v>2.0414800091616869</v>
      </c>
      <c r="F121" s="11">
        <f t="shared" ref="F121:H121" si="53">F25/F9</f>
        <v>3.4780952380952384</v>
      </c>
      <c r="G121" s="11">
        <f t="shared" si="53"/>
        <v>1.7510771302173491</v>
      </c>
      <c r="H121" s="11">
        <f t="shared" si="53"/>
        <v>2.8127976190476187</v>
      </c>
      <c r="I121" s="11">
        <f t="shared" si="35"/>
        <v>2.6806566624534018</v>
      </c>
      <c r="J121" s="11">
        <f t="shared" si="36"/>
        <v>0.87105901668127927</v>
      </c>
      <c r="K121" s="11">
        <f t="shared" ref="K121:M121" si="54">K25/K9</f>
        <v>1.776059916434876</v>
      </c>
      <c r="L121" s="11">
        <f t="shared" si="54"/>
        <v>2.0336879432624118</v>
      </c>
      <c r="M121" s="11">
        <f t="shared" si="54"/>
        <v>3.4404166666666667</v>
      </c>
      <c r="N121" s="11">
        <f t="shared" si="38"/>
        <v>2.416721508787985</v>
      </c>
      <c r="O121" s="11">
        <f t="shared" si="39"/>
        <v>0.89585539137181947</v>
      </c>
    </row>
    <row r="122" spans="1:15" x14ac:dyDescent="0.35">
      <c r="A122" s="1" t="s">
        <v>9</v>
      </c>
      <c r="B122" s="11">
        <f t="shared" ref="B122:D122" si="55">B26/B10</f>
        <v>3.3716729399112784</v>
      </c>
      <c r="C122" s="11">
        <f t="shared" si="55"/>
        <v>4.9484619754890025</v>
      </c>
      <c r="D122" s="11">
        <f t="shared" si="55"/>
        <v>3.8425266903914594</v>
      </c>
      <c r="E122" s="11">
        <f t="shared" si="33"/>
        <v>4.0542205352639131</v>
      </c>
      <c r="F122" s="11">
        <f t="shared" ref="F122:H122" si="56">F26/F10</f>
        <v>4.4055857816467165</v>
      </c>
      <c r="G122" s="11">
        <f t="shared" si="56"/>
        <v>2.9545969304127557</v>
      </c>
      <c r="H122" s="11">
        <f t="shared" si="56"/>
        <v>3.5362305986696243</v>
      </c>
      <c r="I122" s="11">
        <f t="shared" si="35"/>
        <v>3.6321377702430322</v>
      </c>
      <c r="J122" s="11">
        <f t="shared" si="36"/>
        <v>0.73023338787727321</v>
      </c>
      <c r="K122" s="11">
        <f t="shared" ref="K122:M122" si="57">K26/K10</f>
        <v>2.2730202578268881</v>
      </c>
      <c r="L122" s="11">
        <f t="shared" si="57"/>
        <v>3.9989241001564948</v>
      </c>
      <c r="M122" s="11">
        <f t="shared" si="57"/>
        <v>4.02392062215071</v>
      </c>
      <c r="N122" s="11">
        <f t="shared" si="38"/>
        <v>3.4319549933780311</v>
      </c>
      <c r="O122" s="11">
        <f t="shared" si="39"/>
        <v>1.0037447372107118</v>
      </c>
    </row>
    <row r="123" spans="1:15" x14ac:dyDescent="0.35">
      <c r="A123" s="1" t="s">
        <v>10</v>
      </c>
      <c r="B123" s="11">
        <f t="shared" ref="B123:D123" si="58">B27/B11</f>
        <v>4.1584680252986645</v>
      </c>
      <c r="C123" s="11">
        <f t="shared" si="58"/>
        <v>2.8511074651353563</v>
      </c>
      <c r="D123" s="11">
        <f t="shared" si="58"/>
        <v>2.4719881744271985</v>
      </c>
      <c r="E123" s="11">
        <f t="shared" si="33"/>
        <v>3.1605212216204066</v>
      </c>
      <c r="F123" s="11">
        <f t="shared" ref="F123:H123" si="59">F27/F11</f>
        <v>4.3545388918967696</v>
      </c>
      <c r="G123" s="11">
        <f t="shared" si="59"/>
        <v>2.221554028255059</v>
      </c>
      <c r="H123" s="11">
        <f t="shared" si="59"/>
        <v>2.3338486355692973</v>
      </c>
      <c r="I123" s="11">
        <f t="shared" si="35"/>
        <v>2.9699805185737085</v>
      </c>
      <c r="J123" s="11">
        <f t="shared" si="36"/>
        <v>1.2003765811453559</v>
      </c>
      <c r="K123" s="11">
        <f t="shared" ref="K123:M123" si="60">K27/K11</f>
        <v>1.5811836115326254</v>
      </c>
      <c r="L123" s="11">
        <f t="shared" si="60"/>
        <v>2.4385113268608412</v>
      </c>
      <c r="M123" s="11">
        <f t="shared" si="60"/>
        <v>2.8514999786023023</v>
      </c>
      <c r="N123" s="11">
        <f t="shared" si="38"/>
        <v>2.2903983056652564</v>
      </c>
      <c r="O123" s="11">
        <f t="shared" si="39"/>
        <v>0.64798072378508242</v>
      </c>
    </row>
    <row r="124" spans="1:15" x14ac:dyDescent="0.35">
      <c r="A124" s="1" t="s">
        <v>11</v>
      </c>
      <c r="B124" s="11">
        <f t="shared" ref="B124:D124" si="61">B28/B12</f>
        <v>0.81032972284166938</v>
      </c>
      <c r="C124" s="11">
        <f t="shared" si="61"/>
        <v>0.75761638733705772</v>
      </c>
      <c r="D124" s="11">
        <f t="shared" si="61"/>
        <v>0.71919451585261351</v>
      </c>
      <c r="E124" s="11">
        <f t="shared" si="33"/>
        <v>0.76238020867711354</v>
      </c>
      <c r="F124" s="11">
        <f t="shared" ref="F124:H124" si="62">F28/F12</f>
        <v>0.98511111111111127</v>
      </c>
      <c r="G124" s="11">
        <f t="shared" si="62"/>
        <v>0.59992562290814433</v>
      </c>
      <c r="H124" s="11">
        <f t="shared" si="62"/>
        <v>0.99967689822294026</v>
      </c>
      <c r="I124" s="11">
        <f t="shared" si="35"/>
        <v>0.86157121074739873</v>
      </c>
      <c r="J124" s="11">
        <f t="shared" si="36"/>
        <v>0.22670873552944129</v>
      </c>
      <c r="K124" s="11">
        <f t="shared" ref="K124:M124" si="63">K28/K12</f>
        <v>0.89549910873440286</v>
      </c>
      <c r="L124" s="11">
        <f t="shared" si="63"/>
        <v>0.43423564115911839</v>
      </c>
      <c r="M124" s="11">
        <f t="shared" si="63"/>
        <v>0.93930123704446677</v>
      </c>
      <c r="N124" s="11">
        <f t="shared" si="38"/>
        <v>0.75634532897932927</v>
      </c>
      <c r="O124" s="11">
        <f t="shared" si="39"/>
        <v>0.27981358946957552</v>
      </c>
    </row>
    <row r="125" spans="1:15" x14ac:dyDescent="0.35">
      <c r="A125" s="1" t="s">
        <v>14</v>
      </c>
      <c r="B125" s="11" t="e">
        <f t="shared" ref="B125:D125" si="64">B29/B13</f>
        <v>#VALUE!</v>
      </c>
      <c r="C125" s="11" t="e">
        <f t="shared" si="64"/>
        <v>#VALUE!</v>
      </c>
      <c r="D125" s="11" t="e">
        <f t="shared" si="64"/>
        <v>#VALUE!</v>
      </c>
      <c r="E125" s="11" t="e">
        <f t="shared" si="33"/>
        <v>#VALUE!</v>
      </c>
      <c r="F125" s="11">
        <f t="shared" ref="F125:H125" si="65">F29/F13</f>
        <v>0.79962769051774296</v>
      </c>
      <c r="G125" s="11">
        <f t="shared" si="65"/>
        <v>0.53082325849165235</v>
      </c>
      <c r="H125" s="11">
        <f t="shared" si="65"/>
        <v>0.58064580826313694</v>
      </c>
      <c r="I125" s="11">
        <f t="shared" si="35"/>
        <v>0.63703225242417749</v>
      </c>
      <c r="J125" s="11">
        <f t="shared" si="36"/>
        <v>0.14299835307814537</v>
      </c>
      <c r="K125" s="11">
        <f t="shared" ref="K125:M125" si="66">K29/K13</f>
        <v>0.21203480295386415</v>
      </c>
      <c r="L125" s="11">
        <f t="shared" si="66"/>
        <v>0.36337209302325585</v>
      </c>
      <c r="M125" s="11">
        <f t="shared" si="66"/>
        <v>0.68565152584921951</v>
      </c>
      <c r="N125" s="11">
        <f t="shared" si="38"/>
        <v>0.42035280727544649</v>
      </c>
      <c r="O125" s="11">
        <f t="shared" si="39"/>
        <v>0.24189522814444142</v>
      </c>
    </row>
    <row r="126" spans="1:15" x14ac:dyDescent="0.35">
      <c r="A126" s="1" t="s">
        <v>12</v>
      </c>
      <c r="B126" s="11">
        <f t="shared" ref="B126:D126" si="67">B30/B14</f>
        <v>0.20262857142857141</v>
      </c>
      <c r="C126" s="11">
        <f t="shared" si="67"/>
        <v>0.3406634471656893</v>
      </c>
      <c r="D126" s="11">
        <f t="shared" si="67"/>
        <v>0.33639968279143539</v>
      </c>
      <c r="E126" s="11">
        <f t="shared" si="33"/>
        <v>0.29323056712856538</v>
      </c>
      <c r="F126" s="11">
        <f t="shared" ref="F126:H126" si="68">F30/F14</f>
        <v>0.31913962358531861</v>
      </c>
      <c r="G126" s="11">
        <f t="shared" si="68"/>
        <v>0.26127819984082196</v>
      </c>
      <c r="H126" s="11">
        <f t="shared" si="68"/>
        <v>0.3230475970425139</v>
      </c>
      <c r="I126" s="11">
        <f t="shared" si="35"/>
        <v>0.30115514015621819</v>
      </c>
      <c r="J126" s="11">
        <f t="shared" si="36"/>
        <v>3.4589678241113905E-2</v>
      </c>
      <c r="K126" s="11">
        <f t="shared" ref="K126:M126" si="69">K30/K14</f>
        <v>0.16866695242177454</v>
      </c>
      <c r="L126" s="11">
        <f t="shared" si="69"/>
        <v>0.27278177458033576</v>
      </c>
      <c r="M126" s="11">
        <f t="shared" si="69"/>
        <v>0.40354877081681217</v>
      </c>
      <c r="N126" s="11">
        <f t="shared" si="38"/>
        <v>0.28166583260630751</v>
      </c>
      <c r="O126" s="11">
        <f t="shared" si="39"/>
        <v>0.11769265915254208</v>
      </c>
    </row>
    <row r="127" spans="1:15" x14ac:dyDescent="0.35">
      <c r="A127" s="1" t="s">
        <v>0</v>
      </c>
      <c r="B127" s="11">
        <f t="shared" ref="B127:D127" si="70">B31/B15</f>
        <v>0.46728238431102687</v>
      </c>
      <c r="C127" s="11">
        <f t="shared" si="70"/>
        <v>0.88224984066284251</v>
      </c>
      <c r="D127" s="11">
        <f t="shared" si="70"/>
        <v>0.61599334600760469</v>
      </c>
      <c r="E127" s="11">
        <f t="shared" si="33"/>
        <v>0.65517519032715799</v>
      </c>
      <c r="F127" s="11">
        <f t="shared" ref="F127:H127" si="71">F31/F15</f>
        <v>0.40399424557840402</v>
      </c>
      <c r="G127" s="11">
        <f t="shared" si="71"/>
        <v>0.47326388888888898</v>
      </c>
      <c r="H127" s="11">
        <f t="shared" si="71"/>
        <v>0.50213925059792719</v>
      </c>
      <c r="I127" s="11">
        <f t="shared" si="35"/>
        <v>0.45979912835507336</v>
      </c>
      <c r="J127" s="11">
        <f t="shared" si="36"/>
        <v>5.0438926780268685E-2</v>
      </c>
      <c r="K127" s="11">
        <f t="shared" ref="K127:M127" si="72">K31/K15</f>
        <v>0.31306865177832921</v>
      </c>
      <c r="L127" s="11">
        <f t="shared" si="72"/>
        <v>0.56320565579824833</v>
      </c>
      <c r="M127" s="11">
        <f t="shared" si="72"/>
        <v>0.87166370808678506</v>
      </c>
      <c r="N127" s="11">
        <f t="shared" si="38"/>
        <v>0.58264600522112087</v>
      </c>
      <c r="O127" s="11">
        <f t="shared" si="39"/>
        <v>0.27980449357064346</v>
      </c>
    </row>
    <row r="128" spans="1:15" x14ac:dyDescent="0.35">
      <c r="A128" s="1" t="s">
        <v>1</v>
      </c>
      <c r="B128" s="11">
        <f t="shared" ref="B128:D128" si="73">B32/B16</f>
        <v>0.25413246268656708</v>
      </c>
      <c r="C128" s="11">
        <f t="shared" si="73"/>
        <v>0.64499611725878458</v>
      </c>
      <c r="D128" s="11">
        <f t="shared" si="73"/>
        <v>0.41559883820263116</v>
      </c>
      <c r="E128" s="11">
        <f t="shared" si="33"/>
        <v>0.43824247271599431</v>
      </c>
      <c r="F128" s="11">
        <f t="shared" ref="F128:H128" si="74">F32/F16</f>
        <v>0.42302144797227687</v>
      </c>
      <c r="G128" s="11">
        <f t="shared" si="74"/>
        <v>0.26384815515610216</v>
      </c>
      <c r="H128" s="11">
        <f t="shared" si="74"/>
        <v>0.22403479236812568</v>
      </c>
      <c r="I128" s="11">
        <f t="shared" si="35"/>
        <v>0.30363479849883485</v>
      </c>
      <c r="J128" s="11">
        <f>STDEV(F128:H128)</f>
        <v>0.10529081165273951</v>
      </c>
      <c r="K128" s="11">
        <f t="shared" ref="K128:M128" si="75">K32/K16</f>
        <v>0.26959247648902829</v>
      </c>
      <c r="L128" s="11">
        <f t="shared" si="75"/>
        <v>0.44821320411871596</v>
      </c>
      <c r="M128" s="11">
        <f t="shared" si="75"/>
        <v>0.92392156862745101</v>
      </c>
      <c r="N128" s="11">
        <f t="shared" si="38"/>
        <v>0.54724241641173166</v>
      </c>
      <c r="O128" s="11">
        <f>STDEV(K128:M128)</f>
        <v>0.33821846323080085</v>
      </c>
    </row>
  </sheetData>
  <phoneticPr fontId="9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Soil-BCF</vt:lpstr>
      <vt:lpstr>PW-BCF+Kd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2025-02-07T13:17:43Z</dcterms:modified>
</cp:coreProperties>
</file>