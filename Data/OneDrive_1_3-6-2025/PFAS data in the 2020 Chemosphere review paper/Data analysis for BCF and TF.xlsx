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 activeTab="3"/>
  </bookViews>
  <sheets>
    <sheet name="pot study" sheetId="1" r:id="rId1"/>
    <sheet name="hydroponic study" sheetId="2" r:id="rId2"/>
    <sheet name="TF" sheetId="5" r:id="rId3"/>
    <sheet name="BCF" sheetId="6" r:id="rId4"/>
  </sheets>
  <definedNames>
    <definedName name="_xlnm._FilterDatabase" localSheetId="1" hidden="1">'hydroponic study'!$C$72:$F$82</definedName>
    <definedName name="_xlnm._FilterDatabase" localSheetId="0" hidden="1">'pot study'!$C$98:$H$137</definedName>
  </definedNames>
  <calcPr calcId="144525"/>
</workbook>
</file>

<file path=xl/calcChain.xml><?xml version="1.0" encoding="utf-8"?>
<calcChain xmlns="http://schemas.openxmlformats.org/spreadsheetml/2006/main">
  <c r="J269" i="1" l="1"/>
  <c r="K269" i="1"/>
  <c r="J270" i="1"/>
  <c r="K270" i="1"/>
  <c r="K260" i="1"/>
  <c r="K261" i="1"/>
  <c r="J261" i="1"/>
  <c r="J260" i="1"/>
  <c r="H353" i="1"/>
  <c r="H354" i="1"/>
  <c r="H355" i="1"/>
  <c r="H356" i="1"/>
  <c r="H357" i="1"/>
  <c r="H358" i="1"/>
  <c r="H359" i="1"/>
  <c r="H360" i="1"/>
  <c r="H352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99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42" i="1"/>
</calcChain>
</file>

<file path=xl/sharedStrings.xml><?xml version="1.0" encoding="utf-8"?>
<sst xmlns="http://schemas.openxmlformats.org/spreadsheetml/2006/main" count="1292" uniqueCount="132">
  <si>
    <t>Alfalfa</t>
  </si>
  <si>
    <t>lettuce</t>
  </si>
  <si>
    <t>Lettuce</t>
  </si>
  <si>
    <t>Maize</t>
  </si>
  <si>
    <t>Mung bean</t>
  </si>
  <si>
    <t>Radish</t>
  </si>
  <si>
    <t>Soybean</t>
  </si>
  <si>
    <t>PFOA</t>
  </si>
  <si>
    <t>PFOA</t>
    <phoneticPr fontId="1" type="noConversion"/>
  </si>
  <si>
    <t>PFOS</t>
  </si>
  <si>
    <t>PFOS</t>
    <phoneticPr fontId="1" type="noConversion"/>
  </si>
  <si>
    <t>Carrot</t>
    <phoneticPr fontId="1" type="noConversion"/>
  </si>
  <si>
    <t>PFNA</t>
  </si>
  <si>
    <t>PFHpA</t>
  </si>
  <si>
    <t>PFHxA</t>
  </si>
  <si>
    <t>PFPeA</t>
  </si>
  <si>
    <t>PFBA</t>
  </si>
  <si>
    <t>PFBA</t>
    <phoneticPr fontId="1" type="noConversion"/>
  </si>
  <si>
    <t>Bizkarguenaga et al., 2016b</t>
  </si>
  <si>
    <t>Bizkarguenaga et al., 2017b</t>
  </si>
  <si>
    <t>Bizkarguenaga et al., 2018b</t>
  </si>
  <si>
    <t>Bizkarguenaga et al., 2019b</t>
  </si>
  <si>
    <t>Bizkarguenaga et al., 2020b</t>
  </si>
  <si>
    <t>lettuce</t>
    <phoneticPr fontId="1" type="noConversion"/>
  </si>
  <si>
    <t>PFBA</t>
    <phoneticPr fontId="1" type="noConversion"/>
  </si>
  <si>
    <t>PFOA</t>
    <phoneticPr fontId="1" type="noConversion"/>
  </si>
  <si>
    <t>PFNA</t>
    <phoneticPr fontId="1" type="noConversion"/>
  </si>
  <si>
    <t>PFDA</t>
  </si>
  <si>
    <t>PFBS</t>
  </si>
  <si>
    <t>PFHxS</t>
  </si>
  <si>
    <t>PFHpS</t>
  </si>
  <si>
    <t>PFDS</t>
  </si>
  <si>
    <t>tomato</t>
    <phoneticPr fontId="1" type="noConversion"/>
  </si>
  <si>
    <t>Blaine et al., 2013</t>
  </si>
  <si>
    <t>Blaine et al., 2014</t>
  </si>
  <si>
    <t>radish</t>
    <phoneticPr fontId="1" type="noConversion"/>
  </si>
  <si>
    <t>root concentration factor</t>
  </si>
  <si>
    <t>root concentration factor</t>
    <phoneticPr fontId="1" type="noConversion"/>
  </si>
  <si>
    <t>shoot concentration factor</t>
  </si>
  <si>
    <t>shoot concentration factor</t>
    <phoneticPr fontId="1" type="noConversion"/>
  </si>
  <si>
    <t>celery</t>
    <phoneticPr fontId="1" type="noConversion"/>
  </si>
  <si>
    <t>Tomato</t>
    <phoneticPr fontId="1" type="noConversion"/>
  </si>
  <si>
    <t>Pea</t>
    <phoneticPr fontId="1" type="noConversion"/>
  </si>
  <si>
    <t>TF</t>
  </si>
  <si>
    <t>TF</t>
    <phoneticPr fontId="1" type="noConversion"/>
  </si>
  <si>
    <t>Xiang et al., 2018</t>
  </si>
  <si>
    <t>PFOS</t>
    <phoneticPr fontId="1" type="noConversion"/>
  </si>
  <si>
    <t>Yu et al., 2018</t>
  </si>
  <si>
    <t>PFPeA</t>
    <phoneticPr fontId="1" type="noConversion"/>
  </si>
  <si>
    <t>PFHpA</t>
    <phoneticPr fontId="1" type="noConversion"/>
  </si>
  <si>
    <t>PFOA</t>
    <phoneticPr fontId="1" type="noConversion"/>
  </si>
  <si>
    <t>PFBS</t>
    <phoneticPr fontId="1" type="noConversion"/>
  </si>
  <si>
    <t>PFHxS</t>
    <phoneticPr fontId="1" type="noConversion"/>
  </si>
  <si>
    <t>PFHxA</t>
    <phoneticPr fontId="1" type="noConversion"/>
  </si>
  <si>
    <t xml:space="preserve">Root concentration factor </t>
    <phoneticPr fontId="1" type="noConversion"/>
  </si>
  <si>
    <t>Shoot concentration factor</t>
    <phoneticPr fontId="1" type="noConversion"/>
  </si>
  <si>
    <t>wheat</t>
  </si>
  <si>
    <t>wheat</t>
    <phoneticPr fontId="1" type="noConversion"/>
  </si>
  <si>
    <t>Lan et al., 2018</t>
  </si>
  <si>
    <t>PFOA</t>
    <phoneticPr fontId="1" type="noConversion"/>
  </si>
  <si>
    <t>Rape</t>
    <phoneticPr fontId="1" type="noConversion"/>
  </si>
  <si>
    <t>Zhao et al., 2017</t>
  </si>
  <si>
    <t>PFPeA</t>
    <phoneticPr fontId="1" type="noConversion"/>
  </si>
  <si>
    <t>BCF</t>
    <phoneticPr fontId="1" type="noConversion"/>
  </si>
  <si>
    <t>PFHxA</t>
    <phoneticPr fontId="1" type="noConversion"/>
  </si>
  <si>
    <t>PFOA</t>
    <phoneticPr fontId="1" type="noConversion"/>
  </si>
  <si>
    <t>PFNA</t>
    <phoneticPr fontId="1" type="noConversion"/>
  </si>
  <si>
    <t>PFDA</t>
    <phoneticPr fontId="1" type="noConversion"/>
  </si>
  <si>
    <t>PFUnDA</t>
    <phoneticPr fontId="1" type="noConversion"/>
  </si>
  <si>
    <t>PFDoDA</t>
    <phoneticPr fontId="1" type="noConversion"/>
  </si>
  <si>
    <t>PFBS</t>
    <phoneticPr fontId="1" type="noConversion"/>
  </si>
  <si>
    <t>PFHpA</t>
    <phoneticPr fontId="1" type="noConversion"/>
  </si>
  <si>
    <t>Zhao et al., 2014</t>
  </si>
  <si>
    <t>PFBA</t>
    <phoneticPr fontId="1" type="noConversion"/>
  </si>
  <si>
    <t>PFOA</t>
    <phoneticPr fontId="1" type="noConversion"/>
  </si>
  <si>
    <t>PFBS</t>
    <phoneticPr fontId="1" type="noConversion"/>
  </si>
  <si>
    <t>Blaine et al., 2014b</t>
  </si>
  <si>
    <t>Root concentration factor</t>
    <phoneticPr fontId="1" type="noConversion"/>
  </si>
  <si>
    <t>PFOS</t>
    <phoneticPr fontId="1" type="noConversion"/>
  </si>
  <si>
    <t>Ryegrass</t>
  </si>
  <si>
    <t>Wen et al., 2016</t>
  </si>
  <si>
    <t>Wheat grass</t>
  </si>
  <si>
    <t>PFBA</t>
    <phoneticPr fontId="1" type="noConversion"/>
  </si>
  <si>
    <t>PFNA</t>
    <phoneticPr fontId="1" type="noConversion"/>
  </si>
  <si>
    <t>PFDA</t>
    <phoneticPr fontId="1" type="noConversion"/>
  </si>
  <si>
    <t>Braunig et al., 2019</t>
  </si>
  <si>
    <t>Red chicory</t>
  </si>
  <si>
    <t>Gredelj et al., 2019</t>
  </si>
  <si>
    <t>Gredelj et al., 2019</t>
    <phoneticPr fontId="1" type="noConversion"/>
  </si>
  <si>
    <t>PFBA</t>
    <phoneticPr fontId="1" type="noConversion"/>
  </si>
  <si>
    <t>PFPeA</t>
    <phoneticPr fontId="1" type="noConversion"/>
  </si>
  <si>
    <t>PFHpA</t>
    <phoneticPr fontId="1" type="noConversion"/>
  </si>
  <si>
    <t>PFNA</t>
    <phoneticPr fontId="1" type="noConversion"/>
  </si>
  <si>
    <t>PFUnDA</t>
    <phoneticPr fontId="1" type="noConversion"/>
  </si>
  <si>
    <t>PFDoDA</t>
    <phoneticPr fontId="1" type="noConversion"/>
  </si>
  <si>
    <t>PFTrDA</t>
    <phoneticPr fontId="1" type="noConversion"/>
  </si>
  <si>
    <t>PFTeDA</t>
    <phoneticPr fontId="1" type="noConversion"/>
  </si>
  <si>
    <t>PFBS</t>
    <phoneticPr fontId="1" type="noConversion"/>
  </si>
  <si>
    <t>PFHxS</t>
    <phoneticPr fontId="1" type="noConversion"/>
  </si>
  <si>
    <t>Felizeter et al., 2012</t>
  </si>
  <si>
    <t>Zhao et al., 2018c</t>
  </si>
  <si>
    <t>Zhao et al., 2018c</t>
    <phoneticPr fontId="1" type="noConversion"/>
  </si>
  <si>
    <t>wheat</t>
    <phoneticPr fontId="1" type="noConversion"/>
  </si>
  <si>
    <t>soybean</t>
    <phoneticPr fontId="1" type="noConversion"/>
  </si>
  <si>
    <t>PFHxS</t>
    <phoneticPr fontId="1" type="noConversion"/>
  </si>
  <si>
    <t>pumpkin</t>
    <phoneticPr fontId="1" type="noConversion"/>
  </si>
  <si>
    <t>PFOS</t>
    <phoneticPr fontId="1" type="noConversion"/>
  </si>
  <si>
    <t>Zhang et al., 2019</t>
  </si>
  <si>
    <t>Zhang et al., 2019</t>
    <phoneticPr fontId="1" type="noConversion"/>
  </si>
  <si>
    <t>TFA</t>
    <phoneticPr fontId="1" type="noConversion"/>
  </si>
  <si>
    <t>PFPrA</t>
    <phoneticPr fontId="1" type="noConversion"/>
  </si>
  <si>
    <t>PFBA</t>
    <phoneticPr fontId="1" type="noConversion"/>
  </si>
  <si>
    <t>TF</t>
    <phoneticPr fontId="1" type="noConversion"/>
  </si>
  <si>
    <t>BCF</t>
    <phoneticPr fontId="1" type="noConversion"/>
  </si>
  <si>
    <t>Reference</t>
    <phoneticPr fontId="1" type="noConversion"/>
  </si>
  <si>
    <t>plant</t>
    <phoneticPr fontId="1" type="noConversion"/>
  </si>
  <si>
    <t>PFAS</t>
    <phoneticPr fontId="1" type="noConversion"/>
  </si>
  <si>
    <t>Shoot concentration factor</t>
    <phoneticPr fontId="1" type="noConversion"/>
  </si>
  <si>
    <t>TF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</si>
  <si>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</si>
  <si>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</si>
  <si>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</si>
  <si>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C7</t>
    <phoneticPr fontId="1" type="noConversion"/>
  </si>
  <si>
    <t>C8</t>
    <phoneticPr fontId="1" type="noConversion"/>
  </si>
  <si>
    <t>C9</t>
    <phoneticPr fontId="1" type="noConversion"/>
  </si>
  <si>
    <t>C10</t>
    <phoneticPr fontId="1" type="noConversion"/>
  </si>
  <si>
    <t>C11</t>
    <phoneticPr fontId="1" type="noConversion"/>
  </si>
  <si>
    <t>C12</t>
    <phoneticPr fontId="1" type="noConversion"/>
  </si>
  <si>
    <t>PFUnDA</t>
    <phoneticPr fontId="1" type="noConversion"/>
  </si>
  <si>
    <t>PFDoDA</t>
    <phoneticPr fontId="1" type="noConversion"/>
  </si>
  <si>
    <t>BCF</t>
    <phoneticPr fontId="1" type="noConversion"/>
  </si>
  <si>
    <t>PFHpS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</si>
</sst>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"/>
    <numFmt numFmtId="177" formatCode="0.000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0000FF"/>
      <name val="宋体"/>
      <family val="3"/>
      <charset val="134"/>
      <scheme val="minor"/>
    </font>
    <font>
      <b/>
      <sz val="11"/>
      <color rgb="FFFF000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4" fillId="2" borderId="0" xfId="0" applyFont="1" applyFill="1"/>
    <xf numFmtId="177" fontId="4" fillId="2" borderId="0" xfId="0" applyNumberFormat="1" applyFont="1" applyFill="1" applyAlignment="1">
      <alignment horizontal="center"/>
    </xf>
    <xf numFmtId="177" fontId="0" fillId="2" borderId="0" xfId="0" applyNumberFormat="1" applyFill="1" applyAlignment="1">
      <alignment horizontal="center"/>
    </xf>
    <xf numFmtId="176" fontId="0" fillId="2" borderId="0" xfId="0" applyNumberFormat="1" applyFill="1" applyAlignment="1">
      <alignment horizontal="center"/>
    </xf>
    <xf numFmtId="0" fontId="3" fillId="0" borderId="0" xfId="0" applyFont="1" applyFill="1" applyAlignment="1">
      <alignment horizontal="center"/>
    </xf>
    <xf numFmtId="177" fontId="0" fillId="0" borderId="0" xfId="0" applyNumberFormat="1" applyFill="1" applyAlignment="1">
      <alignment horizontal="center"/>
    </xf>
    <xf numFmtId="177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360"/>
  <sheetViews>
    <sheetView topLeftCell="C121" workbookViewId="0">
      <selection activeCell="D131" sqref="D131"/>
    </sheetView>
  </sheetViews>
  <sheetFormatPr defaultRowHeight="13.5" x14ac:dyDescent="0.15"/>
  <cols>
    <col min="1" max="2" width="9" style="1"/>
    <col min="3" max="3" width="31.875" style="1" customWidth="1"/>
    <col min="4" max="4" width="21.875" style="2" customWidth="1"/>
    <col min="5" max="5" width="11.375" style="1" customWidth="1"/>
    <col min="6" max="6" width="29.875" style="1" customWidth="1"/>
    <col min="7" max="7" width="26.875" style="1" customWidth="1"/>
    <col min="8" max="8" width="30.875" style="1" customWidth="1"/>
    <col min="9" max="9" width="34.5" style="1" customWidth="1"/>
    <col min="10" max="16384" width="9" style="1"/>
  </cols>
  <sheetData>
    <row r="3" spans="3:6" x14ac:dyDescent="0.15">
      <c r="C3" s="12" t="s">
        <v>114</v>
      </c>
      <c r="D3" s="18" t="s">
        <v>115</v>
      </c>
      <c r="E3" s="12" t="s">
        <v>116</v>
      </c>
      <c r="F3" s="12" t="s">
        <v>113</v>
      </c>
    </row>
    <row r="4" spans="3:6" x14ac:dyDescent="0.15">
      <c r="C4" s="14" t="s">
        <v>18</v>
      </c>
      <c r="D4" s="15" t="s">
        <v>11</v>
      </c>
      <c r="E4" s="14" t="s">
        <v>12</v>
      </c>
      <c r="F4" s="16">
        <v>0.74</v>
      </c>
    </row>
    <row r="5" spans="3:6" x14ac:dyDescent="0.15">
      <c r="C5" s="14" t="s">
        <v>18</v>
      </c>
      <c r="D5" s="15" t="s">
        <v>11</v>
      </c>
      <c r="E5" s="14" t="s">
        <v>12</v>
      </c>
      <c r="F5" s="16">
        <v>0.74</v>
      </c>
    </row>
    <row r="6" spans="3:6" x14ac:dyDescent="0.15">
      <c r="C6" s="14" t="s">
        <v>18</v>
      </c>
      <c r="D6" s="15" t="s">
        <v>11</v>
      </c>
      <c r="E6" s="14" t="s">
        <v>12</v>
      </c>
      <c r="F6" s="16">
        <v>0.8</v>
      </c>
    </row>
    <row r="7" spans="3:6" x14ac:dyDescent="0.15">
      <c r="C7" s="14" t="s">
        <v>18</v>
      </c>
      <c r="D7" s="15" t="s">
        <v>11</v>
      </c>
      <c r="E7" s="14" t="s">
        <v>12</v>
      </c>
      <c r="F7" s="16">
        <v>1.05</v>
      </c>
    </row>
    <row r="8" spans="3:6" x14ac:dyDescent="0.15">
      <c r="C8" s="14" t="s">
        <v>18</v>
      </c>
      <c r="D8" s="15" t="s">
        <v>11</v>
      </c>
      <c r="E8" s="14" t="s">
        <v>8</v>
      </c>
      <c r="F8" s="16">
        <v>0.86</v>
      </c>
    </row>
    <row r="9" spans="3:6" x14ac:dyDescent="0.15">
      <c r="C9" s="14" t="s">
        <v>18</v>
      </c>
      <c r="D9" s="15" t="s">
        <v>11</v>
      </c>
      <c r="E9" s="14" t="s">
        <v>8</v>
      </c>
      <c r="F9" s="16">
        <v>1.43</v>
      </c>
    </row>
    <row r="10" spans="3:6" x14ac:dyDescent="0.15">
      <c r="C10" s="14" t="s">
        <v>18</v>
      </c>
      <c r="D10" s="15" t="s">
        <v>11</v>
      </c>
      <c r="E10" s="14" t="s">
        <v>8</v>
      </c>
      <c r="F10" s="16">
        <v>0.55000000000000004</v>
      </c>
    </row>
    <row r="11" spans="3:6" x14ac:dyDescent="0.15">
      <c r="C11" s="14" t="s">
        <v>18</v>
      </c>
      <c r="D11" s="15" t="s">
        <v>11</v>
      </c>
      <c r="E11" s="14" t="s">
        <v>8</v>
      </c>
      <c r="F11" s="16">
        <v>0.39</v>
      </c>
    </row>
    <row r="12" spans="3:6" x14ac:dyDescent="0.15">
      <c r="C12" s="14" t="s">
        <v>18</v>
      </c>
      <c r="D12" s="15" t="s">
        <v>11</v>
      </c>
      <c r="E12" s="14" t="s">
        <v>13</v>
      </c>
      <c r="F12" s="16">
        <v>0.64</v>
      </c>
    </row>
    <row r="13" spans="3:6" x14ac:dyDescent="0.15">
      <c r="C13" s="14" t="s">
        <v>18</v>
      </c>
      <c r="D13" s="15" t="s">
        <v>11</v>
      </c>
      <c r="E13" s="14" t="s">
        <v>13</v>
      </c>
      <c r="F13" s="16">
        <v>1.23</v>
      </c>
    </row>
    <row r="14" spans="3:6" x14ac:dyDescent="0.15">
      <c r="C14" s="14" t="s">
        <v>18</v>
      </c>
      <c r="D14" s="15" t="s">
        <v>11</v>
      </c>
      <c r="E14" s="14" t="s">
        <v>13</v>
      </c>
      <c r="F14" s="16">
        <v>2.41</v>
      </c>
    </row>
    <row r="15" spans="3:6" x14ac:dyDescent="0.15">
      <c r="C15" s="14" t="s">
        <v>18</v>
      </c>
      <c r="D15" s="15" t="s">
        <v>11</v>
      </c>
      <c r="E15" s="14" t="s">
        <v>13</v>
      </c>
      <c r="F15" s="16">
        <v>2.52</v>
      </c>
    </row>
    <row r="16" spans="3:6" x14ac:dyDescent="0.15">
      <c r="C16" s="14" t="s">
        <v>18</v>
      </c>
      <c r="D16" s="15" t="s">
        <v>11</v>
      </c>
      <c r="E16" s="14" t="s">
        <v>14</v>
      </c>
      <c r="F16" s="16">
        <v>4.5999999999999996</v>
      </c>
    </row>
    <row r="17" spans="3:6" x14ac:dyDescent="0.15">
      <c r="C17" s="14" t="s">
        <v>18</v>
      </c>
      <c r="D17" s="15" t="s">
        <v>11</v>
      </c>
      <c r="E17" s="14" t="s">
        <v>14</v>
      </c>
      <c r="F17" s="16">
        <v>11</v>
      </c>
    </row>
    <row r="18" spans="3:6" x14ac:dyDescent="0.15">
      <c r="C18" s="14" t="s">
        <v>18</v>
      </c>
      <c r="D18" s="15" t="s">
        <v>11</v>
      </c>
      <c r="E18" s="14" t="s">
        <v>14</v>
      </c>
      <c r="F18" s="16">
        <v>2.1</v>
      </c>
    </row>
    <row r="19" spans="3:6" x14ac:dyDescent="0.15">
      <c r="C19" s="14" t="s">
        <v>18</v>
      </c>
      <c r="D19" s="15" t="s">
        <v>11</v>
      </c>
      <c r="E19" s="14" t="s">
        <v>14</v>
      </c>
      <c r="F19" s="16">
        <v>2.8</v>
      </c>
    </row>
    <row r="20" spans="3:6" x14ac:dyDescent="0.15">
      <c r="C20" s="14" t="s">
        <v>18</v>
      </c>
      <c r="D20" s="15" t="s">
        <v>11</v>
      </c>
      <c r="E20" s="14" t="s">
        <v>15</v>
      </c>
      <c r="F20" s="16">
        <v>8</v>
      </c>
    </row>
    <row r="21" spans="3:6" x14ac:dyDescent="0.15">
      <c r="C21" s="14" t="s">
        <v>18</v>
      </c>
      <c r="D21" s="15" t="s">
        <v>11</v>
      </c>
      <c r="E21" s="14" t="s">
        <v>15</v>
      </c>
      <c r="F21" s="16">
        <v>12.4</v>
      </c>
    </row>
    <row r="22" spans="3:6" x14ac:dyDescent="0.15">
      <c r="C22" s="14" t="s">
        <v>18</v>
      </c>
      <c r="D22" s="15" t="s">
        <v>11</v>
      </c>
      <c r="E22" s="14" t="s">
        <v>15</v>
      </c>
      <c r="F22" s="16">
        <v>4.0999999999999996</v>
      </c>
    </row>
    <row r="23" spans="3:6" x14ac:dyDescent="0.15">
      <c r="C23" s="14" t="s">
        <v>18</v>
      </c>
      <c r="D23" s="15" t="s">
        <v>11</v>
      </c>
      <c r="E23" s="14" t="s">
        <v>15</v>
      </c>
      <c r="F23" s="16">
        <v>7.9</v>
      </c>
    </row>
    <row r="24" spans="3:6" x14ac:dyDescent="0.15">
      <c r="C24" s="14" t="s">
        <v>18</v>
      </c>
      <c r="D24" s="15" t="s">
        <v>11</v>
      </c>
      <c r="E24" s="14" t="s">
        <v>17</v>
      </c>
      <c r="F24" s="16">
        <v>23.4</v>
      </c>
    </row>
    <row r="25" spans="3:6" x14ac:dyDescent="0.15">
      <c r="C25" s="14" t="s">
        <v>18</v>
      </c>
      <c r="D25" s="15" t="s">
        <v>11</v>
      </c>
      <c r="E25" s="14" t="s">
        <v>17</v>
      </c>
      <c r="F25" s="16">
        <v>33</v>
      </c>
    </row>
    <row r="26" spans="3:6" x14ac:dyDescent="0.15">
      <c r="C26" s="14" t="s">
        <v>18</v>
      </c>
      <c r="D26" s="15" t="s">
        <v>11</v>
      </c>
      <c r="E26" s="14" t="s">
        <v>17</v>
      </c>
      <c r="F26" s="16">
        <v>17</v>
      </c>
    </row>
    <row r="27" spans="3:6" x14ac:dyDescent="0.15">
      <c r="C27" s="14" t="s">
        <v>18</v>
      </c>
      <c r="D27" s="15" t="s">
        <v>11</v>
      </c>
      <c r="E27" s="14" t="s">
        <v>17</v>
      </c>
      <c r="F27" s="16">
        <v>8.6</v>
      </c>
    </row>
    <row r="28" spans="3:6" x14ac:dyDescent="0.15">
      <c r="C28" s="14" t="s">
        <v>19</v>
      </c>
      <c r="D28" s="15" t="s">
        <v>23</v>
      </c>
      <c r="E28" s="14" t="s">
        <v>8</v>
      </c>
      <c r="F28" s="16">
        <v>9.2999999999999999E-2</v>
      </c>
    </row>
    <row r="29" spans="3:6" x14ac:dyDescent="0.15">
      <c r="C29" s="14" t="s">
        <v>20</v>
      </c>
      <c r="D29" s="15" t="s">
        <v>23</v>
      </c>
      <c r="E29" s="14" t="s">
        <v>8</v>
      </c>
      <c r="F29" s="16">
        <v>8.8999999999999996E-2</v>
      </c>
    </row>
    <row r="30" spans="3:6" x14ac:dyDescent="0.15">
      <c r="C30" s="14" t="s">
        <v>21</v>
      </c>
      <c r="D30" s="15" t="s">
        <v>23</v>
      </c>
      <c r="E30" s="14" t="s">
        <v>8</v>
      </c>
      <c r="F30" s="16">
        <v>1.9E-2</v>
      </c>
    </row>
    <row r="31" spans="3:6" x14ac:dyDescent="0.15">
      <c r="C31" s="14" t="s">
        <v>22</v>
      </c>
      <c r="D31" s="15" t="s">
        <v>23</v>
      </c>
      <c r="E31" s="14" t="s">
        <v>8</v>
      </c>
      <c r="F31" s="16">
        <v>2.1999999999999999E-2</v>
      </c>
    </row>
    <row r="35" spans="3:6" x14ac:dyDescent="0.15">
      <c r="C35" s="12" t="s">
        <v>114</v>
      </c>
      <c r="D35" s="18" t="s">
        <v>115</v>
      </c>
      <c r="E35" s="12" t="s">
        <v>116</v>
      </c>
      <c r="F35" s="12" t="s">
        <v>113</v>
      </c>
    </row>
    <row r="36" spans="3:6" x14ac:dyDescent="0.15">
      <c r="C36" s="14" t="s">
        <v>33</v>
      </c>
      <c r="D36" s="15" t="s">
        <v>23</v>
      </c>
      <c r="E36" s="14" t="s">
        <v>24</v>
      </c>
      <c r="F36" s="16">
        <v>28.4</v>
      </c>
    </row>
    <row r="37" spans="3:6" x14ac:dyDescent="0.15">
      <c r="C37" s="14" t="s">
        <v>33</v>
      </c>
      <c r="D37" s="15" t="s">
        <v>23</v>
      </c>
      <c r="E37" s="14" t="s">
        <v>24</v>
      </c>
      <c r="F37" s="16">
        <v>56.8</v>
      </c>
    </row>
    <row r="38" spans="3:6" x14ac:dyDescent="0.15">
      <c r="C38" s="14" t="s">
        <v>33</v>
      </c>
      <c r="D38" s="15" t="s">
        <v>23</v>
      </c>
      <c r="E38" s="14" t="s">
        <v>24</v>
      </c>
      <c r="F38" s="16">
        <v>40</v>
      </c>
    </row>
    <row r="39" spans="3:6" x14ac:dyDescent="0.15">
      <c r="C39" s="14" t="s">
        <v>33</v>
      </c>
      <c r="D39" s="15" t="s">
        <v>23</v>
      </c>
      <c r="E39" s="14" t="s">
        <v>15</v>
      </c>
      <c r="F39" s="16">
        <v>10.199999999999999</v>
      </c>
    </row>
    <row r="40" spans="3:6" x14ac:dyDescent="0.15">
      <c r="C40" s="14" t="s">
        <v>33</v>
      </c>
      <c r="D40" s="15" t="s">
        <v>23</v>
      </c>
      <c r="E40" s="14" t="s">
        <v>15</v>
      </c>
      <c r="F40" s="16">
        <v>20.399999999999999</v>
      </c>
    </row>
    <row r="41" spans="3:6" x14ac:dyDescent="0.15">
      <c r="C41" s="14" t="s">
        <v>33</v>
      </c>
      <c r="D41" s="15" t="s">
        <v>23</v>
      </c>
      <c r="E41" s="14" t="s">
        <v>15</v>
      </c>
      <c r="F41" s="16">
        <v>16.3</v>
      </c>
    </row>
    <row r="42" spans="3:6" x14ac:dyDescent="0.15">
      <c r="C42" s="14" t="s">
        <v>33</v>
      </c>
      <c r="D42" s="15" t="s">
        <v>23</v>
      </c>
      <c r="E42" s="14" t="s">
        <v>14</v>
      </c>
      <c r="F42" s="16">
        <v>11.7</v>
      </c>
    </row>
    <row r="43" spans="3:6" x14ac:dyDescent="0.15">
      <c r="C43" s="14" t="s">
        <v>33</v>
      </c>
      <c r="D43" s="15" t="s">
        <v>23</v>
      </c>
      <c r="E43" s="14" t="s">
        <v>14</v>
      </c>
      <c r="F43" s="16">
        <v>9.9</v>
      </c>
    </row>
    <row r="44" spans="3:6" x14ac:dyDescent="0.15">
      <c r="C44" s="14" t="s">
        <v>33</v>
      </c>
      <c r="D44" s="15" t="s">
        <v>23</v>
      </c>
      <c r="E44" s="14" t="s">
        <v>14</v>
      </c>
      <c r="F44" s="16">
        <v>0</v>
      </c>
    </row>
    <row r="45" spans="3:6" x14ac:dyDescent="0.15">
      <c r="C45" s="14" t="s">
        <v>33</v>
      </c>
      <c r="D45" s="15" t="s">
        <v>23</v>
      </c>
      <c r="E45" s="14" t="s">
        <v>13</v>
      </c>
      <c r="F45" s="16">
        <v>3.33</v>
      </c>
    </row>
    <row r="46" spans="3:6" x14ac:dyDescent="0.15">
      <c r="C46" s="14" t="s">
        <v>33</v>
      </c>
      <c r="D46" s="15" t="s">
        <v>23</v>
      </c>
      <c r="E46" s="14" t="s">
        <v>13</v>
      </c>
      <c r="F46" s="16">
        <v>2.66</v>
      </c>
    </row>
    <row r="47" spans="3:6" x14ac:dyDescent="0.15">
      <c r="C47" s="14" t="s">
        <v>33</v>
      </c>
      <c r="D47" s="15" t="s">
        <v>23</v>
      </c>
      <c r="E47" s="14" t="s">
        <v>13</v>
      </c>
      <c r="F47" s="16">
        <v>0</v>
      </c>
    </row>
    <row r="48" spans="3:6" x14ac:dyDescent="0.15">
      <c r="C48" s="14" t="s">
        <v>33</v>
      </c>
      <c r="D48" s="15" t="s">
        <v>23</v>
      </c>
      <c r="E48" s="14" t="s">
        <v>25</v>
      </c>
      <c r="F48" s="16">
        <v>1.34</v>
      </c>
    </row>
    <row r="49" spans="3:6" x14ac:dyDescent="0.15">
      <c r="C49" s="14" t="s">
        <v>33</v>
      </c>
      <c r="D49" s="15" t="s">
        <v>23</v>
      </c>
      <c r="E49" s="14" t="s">
        <v>25</v>
      </c>
      <c r="F49" s="16">
        <v>2.52</v>
      </c>
    </row>
    <row r="50" spans="3:6" x14ac:dyDescent="0.15">
      <c r="C50" s="14" t="s">
        <v>33</v>
      </c>
      <c r="D50" s="15" t="s">
        <v>23</v>
      </c>
      <c r="E50" s="14" t="s">
        <v>25</v>
      </c>
      <c r="F50" s="16">
        <v>0</v>
      </c>
    </row>
    <row r="51" spans="3:6" x14ac:dyDescent="0.15">
      <c r="C51" s="14" t="s">
        <v>33</v>
      </c>
      <c r="D51" s="15" t="s">
        <v>23</v>
      </c>
      <c r="E51" s="14" t="s">
        <v>26</v>
      </c>
      <c r="F51" s="16">
        <v>0.77</v>
      </c>
    </row>
    <row r="52" spans="3:6" x14ac:dyDescent="0.15">
      <c r="C52" s="14" t="s">
        <v>33</v>
      </c>
      <c r="D52" s="15" t="s">
        <v>23</v>
      </c>
      <c r="E52" s="14" t="s">
        <v>26</v>
      </c>
      <c r="F52" s="16">
        <v>2.85</v>
      </c>
    </row>
    <row r="53" spans="3:6" x14ac:dyDescent="0.15">
      <c r="C53" s="14" t="s">
        <v>33</v>
      </c>
      <c r="D53" s="15" t="s">
        <v>23</v>
      </c>
      <c r="E53" s="14" t="s">
        <v>26</v>
      </c>
      <c r="F53" s="16">
        <v>0</v>
      </c>
    </row>
    <row r="54" spans="3:6" x14ac:dyDescent="0.15">
      <c r="C54" s="14" t="s">
        <v>33</v>
      </c>
      <c r="D54" s="15" t="s">
        <v>23</v>
      </c>
      <c r="E54" s="14" t="s">
        <v>27</v>
      </c>
      <c r="F54" s="16">
        <v>0.34</v>
      </c>
    </row>
    <row r="55" spans="3:6" x14ac:dyDescent="0.15">
      <c r="C55" s="14" t="s">
        <v>33</v>
      </c>
      <c r="D55" s="15" t="s">
        <v>23</v>
      </c>
      <c r="E55" s="14" t="s">
        <v>27</v>
      </c>
      <c r="F55" s="16">
        <v>0.52</v>
      </c>
    </row>
    <row r="56" spans="3:6" x14ac:dyDescent="0.15">
      <c r="C56" s="14" t="s">
        <v>33</v>
      </c>
      <c r="D56" s="15" t="s">
        <v>23</v>
      </c>
      <c r="E56" s="14" t="s">
        <v>27</v>
      </c>
      <c r="F56" s="16">
        <v>0</v>
      </c>
    </row>
    <row r="57" spans="3:6" x14ac:dyDescent="0.15">
      <c r="C57" s="14" t="s">
        <v>33</v>
      </c>
      <c r="D57" s="15" t="s">
        <v>23</v>
      </c>
      <c r="E57" s="14" t="s">
        <v>28</v>
      </c>
      <c r="F57" s="16">
        <v>14.5</v>
      </c>
    </row>
    <row r="58" spans="3:6" x14ac:dyDescent="0.15">
      <c r="C58" s="14" t="s">
        <v>33</v>
      </c>
      <c r="D58" s="15" t="s">
        <v>23</v>
      </c>
      <c r="E58" s="14" t="s">
        <v>28</v>
      </c>
      <c r="F58" s="16">
        <v>4.22</v>
      </c>
    </row>
    <row r="59" spans="3:6" x14ac:dyDescent="0.15">
      <c r="C59" s="14" t="s">
        <v>33</v>
      </c>
      <c r="D59" s="15" t="s">
        <v>23</v>
      </c>
      <c r="E59" s="14" t="s">
        <v>28</v>
      </c>
      <c r="F59" s="16">
        <v>2.02</v>
      </c>
    </row>
    <row r="60" spans="3:6" x14ac:dyDescent="0.15">
      <c r="C60" s="14" t="s">
        <v>33</v>
      </c>
      <c r="D60" s="15" t="s">
        <v>23</v>
      </c>
      <c r="E60" s="14" t="s">
        <v>29</v>
      </c>
      <c r="F60" s="16">
        <v>1.08</v>
      </c>
    </row>
    <row r="61" spans="3:6" x14ac:dyDescent="0.15">
      <c r="C61" s="14" t="s">
        <v>33</v>
      </c>
      <c r="D61" s="15" t="s">
        <v>23</v>
      </c>
      <c r="E61" s="14" t="s">
        <v>29</v>
      </c>
      <c r="F61" s="16">
        <v>7.56</v>
      </c>
    </row>
    <row r="62" spans="3:6" x14ac:dyDescent="0.15">
      <c r="C62" s="14" t="s">
        <v>33</v>
      </c>
      <c r="D62" s="15" t="s">
        <v>23</v>
      </c>
      <c r="E62" s="14" t="s">
        <v>29</v>
      </c>
      <c r="F62" s="16">
        <v>1.51</v>
      </c>
    </row>
    <row r="63" spans="3:6" x14ac:dyDescent="0.15">
      <c r="C63" s="14" t="s">
        <v>33</v>
      </c>
      <c r="D63" s="15" t="s">
        <v>23</v>
      </c>
      <c r="E63" s="14" t="s">
        <v>30</v>
      </c>
      <c r="F63" s="16">
        <v>1.03</v>
      </c>
    </row>
    <row r="64" spans="3:6" x14ac:dyDescent="0.15">
      <c r="C64" s="14" t="s">
        <v>33</v>
      </c>
      <c r="D64" s="15" t="s">
        <v>23</v>
      </c>
      <c r="E64" s="14" t="s">
        <v>30</v>
      </c>
      <c r="F64" s="16">
        <v>6.57</v>
      </c>
    </row>
    <row r="65" spans="3:6" x14ac:dyDescent="0.15">
      <c r="C65" s="14" t="s">
        <v>33</v>
      </c>
      <c r="D65" s="15" t="s">
        <v>23</v>
      </c>
      <c r="E65" s="14" t="s">
        <v>30</v>
      </c>
      <c r="F65" s="16">
        <v>0</v>
      </c>
    </row>
    <row r="66" spans="3:6" x14ac:dyDescent="0.15">
      <c r="C66" s="14" t="s">
        <v>33</v>
      </c>
      <c r="D66" s="15" t="s">
        <v>23</v>
      </c>
      <c r="E66" s="14" t="s">
        <v>9</v>
      </c>
      <c r="F66" s="16">
        <v>0.32</v>
      </c>
    </row>
    <row r="67" spans="3:6" x14ac:dyDescent="0.15">
      <c r="C67" s="14" t="s">
        <v>33</v>
      </c>
      <c r="D67" s="15" t="s">
        <v>23</v>
      </c>
      <c r="E67" s="14" t="s">
        <v>9</v>
      </c>
      <c r="F67" s="16">
        <v>1.67</v>
      </c>
    </row>
    <row r="68" spans="3:6" x14ac:dyDescent="0.15">
      <c r="C68" s="14" t="s">
        <v>33</v>
      </c>
      <c r="D68" s="15" t="s">
        <v>23</v>
      </c>
      <c r="E68" s="14" t="s">
        <v>9</v>
      </c>
      <c r="F68" s="16">
        <v>0.1</v>
      </c>
    </row>
    <row r="69" spans="3:6" x14ac:dyDescent="0.15">
      <c r="C69" s="14" t="s">
        <v>33</v>
      </c>
      <c r="D69" s="15" t="s">
        <v>23</v>
      </c>
      <c r="E69" s="14" t="s">
        <v>31</v>
      </c>
      <c r="F69" s="16">
        <v>0.19</v>
      </c>
    </row>
    <row r="70" spans="3:6" x14ac:dyDescent="0.15">
      <c r="C70" s="14" t="s">
        <v>33</v>
      </c>
      <c r="D70" s="15" t="s">
        <v>23</v>
      </c>
      <c r="E70" s="14" t="s">
        <v>31</v>
      </c>
      <c r="F70" s="16">
        <v>0</v>
      </c>
    </row>
    <row r="71" spans="3:6" x14ac:dyDescent="0.15">
      <c r="C71" s="14" t="s">
        <v>33</v>
      </c>
      <c r="D71" s="15" t="s">
        <v>23</v>
      </c>
      <c r="E71" s="14" t="s">
        <v>31</v>
      </c>
      <c r="F71" s="16">
        <v>0</v>
      </c>
    </row>
    <row r="72" spans="3:6" x14ac:dyDescent="0.15">
      <c r="C72" s="14" t="s">
        <v>33</v>
      </c>
      <c r="D72" s="15" t="s">
        <v>32</v>
      </c>
      <c r="E72" s="14" t="s">
        <v>24</v>
      </c>
      <c r="F72" s="16">
        <v>12.2</v>
      </c>
    </row>
    <row r="73" spans="3:6" x14ac:dyDescent="0.15">
      <c r="C73" s="14" t="s">
        <v>33</v>
      </c>
      <c r="D73" s="15" t="s">
        <v>32</v>
      </c>
      <c r="E73" s="14" t="s">
        <v>24</v>
      </c>
      <c r="F73" s="16">
        <v>18.2</v>
      </c>
    </row>
    <row r="74" spans="3:6" x14ac:dyDescent="0.15">
      <c r="C74" s="14" t="s">
        <v>33</v>
      </c>
      <c r="D74" s="15" t="s">
        <v>32</v>
      </c>
      <c r="E74" s="14" t="s">
        <v>15</v>
      </c>
      <c r="F74" s="16">
        <v>17.100000000000001</v>
      </c>
    </row>
    <row r="75" spans="3:6" x14ac:dyDescent="0.15">
      <c r="C75" s="14" t="s">
        <v>33</v>
      </c>
      <c r="D75" s="15" t="s">
        <v>32</v>
      </c>
      <c r="E75" s="14" t="s">
        <v>15</v>
      </c>
      <c r="F75" s="16">
        <v>14.9</v>
      </c>
    </row>
    <row r="76" spans="3:6" x14ac:dyDescent="0.15">
      <c r="C76" s="14" t="s">
        <v>33</v>
      </c>
      <c r="D76" s="15" t="s">
        <v>32</v>
      </c>
      <c r="E76" s="14" t="s">
        <v>14</v>
      </c>
      <c r="F76" s="16">
        <v>2.9</v>
      </c>
    </row>
    <row r="77" spans="3:6" x14ac:dyDescent="0.15">
      <c r="C77" s="14" t="s">
        <v>33</v>
      </c>
      <c r="D77" s="15" t="s">
        <v>32</v>
      </c>
      <c r="E77" s="14" t="s">
        <v>14</v>
      </c>
      <c r="F77" s="16">
        <v>6.84</v>
      </c>
    </row>
    <row r="78" spans="3:6" x14ac:dyDescent="0.15">
      <c r="C78" s="14" t="s">
        <v>33</v>
      </c>
      <c r="D78" s="15" t="s">
        <v>32</v>
      </c>
      <c r="E78" s="14" t="s">
        <v>13</v>
      </c>
      <c r="F78" s="16">
        <v>0.86</v>
      </c>
    </row>
    <row r="79" spans="3:6" x14ac:dyDescent="0.15">
      <c r="C79" s="14" t="s">
        <v>33</v>
      </c>
      <c r="D79" s="15" t="s">
        <v>32</v>
      </c>
      <c r="E79" s="14" t="s">
        <v>13</v>
      </c>
      <c r="F79" s="16">
        <v>0</v>
      </c>
    </row>
    <row r="80" spans="3:6" x14ac:dyDescent="0.15">
      <c r="C80" s="14" t="s">
        <v>33</v>
      </c>
      <c r="D80" s="15" t="s">
        <v>32</v>
      </c>
      <c r="E80" s="14" t="s">
        <v>25</v>
      </c>
      <c r="F80" s="16">
        <v>0.11</v>
      </c>
    </row>
    <row r="81" spans="3:6" x14ac:dyDescent="0.15">
      <c r="C81" s="14" t="s">
        <v>33</v>
      </c>
      <c r="D81" s="15" t="s">
        <v>32</v>
      </c>
      <c r="E81" s="14" t="s">
        <v>25</v>
      </c>
      <c r="F81" s="16">
        <v>0</v>
      </c>
    </row>
    <row r="82" spans="3:6" x14ac:dyDescent="0.15">
      <c r="C82" s="14" t="s">
        <v>33</v>
      </c>
      <c r="D82" s="15" t="s">
        <v>32</v>
      </c>
      <c r="E82" s="14" t="s">
        <v>26</v>
      </c>
      <c r="F82" s="16">
        <v>0</v>
      </c>
    </row>
    <row r="83" spans="3:6" x14ac:dyDescent="0.15">
      <c r="C83" s="14" t="s">
        <v>33</v>
      </c>
      <c r="D83" s="15" t="s">
        <v>32</v>
      </c>
      <c r="E83" s="14" t="s">
        <v>26</v>
      </c>
      <c r="F83" s="16">
        <v>0</v>
      </c>
    </row>
    <row r="84" spans="3:6" x14ac:dyDescent="0.15">
      <c r="C84" s="14" t="s">
        <v>33</v>
      </c>
      <c r="D84" s="15" t="s">
        <v>32</v>
      </c>
      <c r="E84" s="14" t="s">
        <v>27</v>
      </c>
      <c r="F84" s="16">
        <v>0</v>
      </c>
    </row>
    <row r="85" spans="3:6" x14ac:dyDescent="0.15">
      <c r="C85" s="14" t="s">
        <v>33</v>
      </c>
      <c r="D85" s="15" t="s">
        <v>32</v>
      </c>
      <c r="E85" s="14" t="s">
        <v>27</v>
      </c>
      <c r="F85" s="16">
        <v>0</v>
      </c>
    </row>
    <row r="86" spans="3:6" x14ac:dyDescent="0.15">
      <c r="C86" s="14" t="s">
        <v>33</v>
      </c>
      <c r="D86" s="15" t="s">
        <v>32</v>
      </c>
      <c r="E86" s="14" t="s">
        <v>28</v>
      </c>
      <c r="F86" s="16">
        <v>0.42</v>
      </c>
    </row>
    <row r="87" spans="3:6" x14ac:dyDescent="0.15">
      <c r="C87" s="14" t="s">
        <v>33</v>
      </c>
      <c r="D87" s="15" t="s">
        <v>32</v>
      </c>
      <c r="E87" s="14" t="s">
        <v>28</v>
      </c>
      <c r="F87" s="16">
        <v>0</v>
      </c>
    </row>
    <row r="88" spans="3:6" x14ac:dyDescent="0.15">
      <c r="C88" s="14" t="s">
        <v>33</v>
      </c>
      <c r="D88" s="15" t="s">
        <v>32</v>
      </c>
      <c r="E88" s="14" t="s">
        <v>29</v>
      </c>
      <c r="F88" s="16">
        <v>0.5</v>
      </c>
    </row>
    <row r="89" spans="3:6" x14ac:dyDescent="0.15">
      <c r="C89" s="14" t="s">
        <v>33</v>
      </c>
      <c r="D89" s="15" t="s">
        <v>32</v>
      </c>
      <c r="E89" s="14" t="s">
        <v>29</v>
      </c>
      <c r="F89" s="16">
        <v>0</v>
      </c>
    </row>
    <row r="90" spans="3:6" x14ac:dyDescent="0.15">
      <c r="C90" s="14" t="s">
        <v>33</v>
      </c>
      <c r="D90" s="15" t="s">
        <v>32</v>
      </c>
      <c r="E90" s="14" t="s">
        <v>30</v>
      </c>
      <c r="F90" s="16">
        <v>0</v>
      </c>
    </row>
    <row r="91" spans="3:6" x14ac:dyDescent="0.15">
      <c r="C91" s="14" t="s">
        <v>33</v>
      </c>
      <c r="D91" s="15" t="s">
        <v>32</v>
      </c>
      <c r="E91" s="14" t="s">
        <v>30</v>
      </c>
      <c r="F91" s="16">
        <v>0</v>
      </c>
    </row>
    <row r="92" spans="3:6" x14ac:dyDescent="0.15">
      <c r="C92" s="14" t="s">
        <v>33</v>
      </c>
      <c r="D92" s="15" t="s">
        <v>32</v>
      </c>
      <c r="E92" s="14" t="s">
        <v>9</v>
      </c>
      <c r="F92" s="16">
        <v>0</v>
      </c>
    </row>
    <row r="93" spans="3:6" x14ac:dyDescent="0.15">
      <c r="C93" s="14" t="s">
        <v>33</v>
      </c>
      <c r="D93" s="15" t="s">
        <v>32</v>
      </c>
      <c r="E93" s="14" t="s">
        <v>9</v>
      </c>
      <c r="F93" s="16">
        <v>0</v>
      </c>
    </row>
    <row r="94" spans="3:6" x14ac:dyDescent="0.15">
      <c r="C94" s="14" t="s">
        <v>33</v>
      </c>
      <c r="D94" s="15" t="s">
        <v>32</v>
      </c>
      <c r="E94" s="14" t="s">
        <v>31</v>
      </c>
      <c r="F94" s="16">
        <v>0</v>
      </c>
    </row>
    <row r="95" spans="3:6" x14ac:dyDescent="0.15">
      <c r="C95" s="14" t="s">
        <v>33</v>
      </c>
      <c r="D95" s="15" t="s">
        <v>32</v>
      </c>
      <c r="E95" s="14" t="s">
        <v>31</v>
      </c>
      <c r="F95" s="16">
        <v>0</v>
      </c>
    </row>
    <row r="98" spans="3:8" x14ac:dyDescent="0.15">
      <c r="C98" s="12" t="s">
        <v>114</v>
      </c>
      <c r="D98" s="18" t="s">
        <v>115</v>
      </c>
      <c r="E98" s="12" t="s">
        <v>116</v>
      </c>
      <c r="F98" s="8" t="s">
        <v>77</v>
      </c>
      <c r="G98" s="8" t="s">
        <v>117</v>
      </c>
      <c r="H98" s="8" t="s">
        <v>44</v>
      </c>
    </row>
    <row r="99" spans="3:8" x14ac:dyDescent="0.15">
      <c r="C99" s="4" t="s">
        <v>34</v>
      </c>
      <c r="D99" s="5" t="s">
        <v>35</v>
      </c>
      <c r="E99" s="4" t="s">
        <v>16</v>
      </c>
      <c r="F99" s="4">
        <v>2.92</v>
      </c>
      <c r="G99" s="4">
        <v>13.82</v>
      </c>
      <c r="H99" s="9">
        <f>G99/F99</f>
        <v>4.7328767123287676</v>
      </c>
    </row>
    <row r="100" spans="3:8" x14ac:dyDescent="0.15">
      <c r="C100" s="4" t="s">
        <v>34</v>
      </c>
      <c r="D100" s="5" t="s">
        <v>35</v>
      </c>
      <c r="E100" s="4" t="s">
        <v>15</v>
      </c>
      <c r="F100" s="4">
        <v>0.95</v>
      </c>
      <c r="G100" s="4">
        <v>4.16</v>
      </c>
      <c r="H100" s="9">
        <f t="shared" ref="H100:H136" si="0">G100/F100</f>
        <v>4.3789473684210529</v>
      </c>
    </row>
    <row r="101" spans="3:8" x14ac:dyDescent="0.15">
      <c r="C101" s="4" t="s">
        <v>34</v>
      </c>
      <c r="D101" s="5" t="s">
        <v>35</v>
      </c>
      <c r="E101" s="4" t="s">
        <v>14</v>
      </c>
      <c r="F101" s="4">
        <v>1.1499999999999999</v>
      </c>
      <c r="G101" s="4">
        <v>3.86</v>
      </c>
      <c r="H101" s="9">
        <f t="shared" si="0"/>
        <v>3.3565217391304349</v>
      </c>
    </row>
    <row r="102" spans="3:8" x14ac:dyDescent="0.15">
      <c r="C102" s="4" t="s">
        <v>34</v>
      </c>
      <c r="D102" s="5" t="s">
        <v>35</v>
      </c>
      <c r="E102" s="4" t="s">
        <v>13</v>
      </c>
      <c r="F102" s="4">
        <v>0.8</v>
      </c>
      <c r="G102" s="4">
        <v>5.5</v>
      </c>
      <c r="H102" s="9">
        <f t="shared" si="0"/>
        <v>6.875</v>
      </c>
    </row>
    <row r="103" spans="3:8" x14ac:dyDescent="0.15">
      <c r="C103" s="4" t="s">
        <v>34</v>
      </c>
      <c r="D103" s="5" t="s">
        <v>35</v>
      </c>
      <c r="E103" s="4" t="s">
        <v>7</v>
      </c>
      <c r="F103" s="4">
        <v>0.85</v>
      </c>
      <c r="G103" s="4">
        <v>7.6</v>
      </c>
      <c r="H103" s="9">
        <f t="shared" si="0"/>
        <v>8.9411764705882355</v>
      </c>
    </row>
    <row r="104" spans="3:8" x14ac:dyDescent="0.15">
      <c r="C104" s="4" t="s">
        <v>34</v>
      </c>
      <c r="D104" s="5" t="s">
        <v>35</v>
      </c>
      <c r="E104" s="4" t="s">
        <v>12</v>
      </c>
      <c r="F104" s="4">
        <v>1.32</v>
      </c>
      <c r="G104" s="4">
        <v>5.31</v>
      </c>
      <c r="H104" s="9">
        <f t="shared" si="0"/>
        <v>4.0227272727272725</v>
      </c>
    </row>
    <row r="105" spans="3:8" x14ac:dyDescent="0.15">
      <c r="C105" s="4" t="s">
        <v>34</v>
      </c>
      <c r="D105" s="5" t="s">
        <v>35</v>
      </c>
      <c r="E105" s="4" t="s">
        <v>27</v>
      </c>
      <c r="F105" s="4">
        <v>0.44</v>
      </c>
      <c r="G105" s="4">
        <v>1.1000000000000001</v>
      </c>
      <c r="H105" s="9">
        <f t="shared" si="0"/>
        <v>2.5</v>
      </c>
    </row>
    <row r="106" spans="3:8" x14ac:dyDescent="0.15">
      <c r="C106" s="4" t="s">
        <v>34</v>
      </c>
      <c r="D106" s="5" t="s">
        <v>35</v>
      </c>
      <c r="E106" s="4" t="s">
        <v>28</v>
      </c>
      <c r="F106" s="4">
        <v>1.27</v>
      </c>
      <c r="G106" s="4">
        <v>3.38</v>
      </c>
      <c r="H106" s="9">
        <f t="shared" si="0"/>
        <v>2.6614173228346454</v>
      </c>
    </row>
    <row r="107" spans="3:8" x14ac:dyDescent="0.15">
      <c r="C107" s="4" t="s">
        <v>34</v>
      </c>
      <c r="D107" s="5" t="s">
        <v>35</v>
      </c>
      <c r="E107" s="4" t="s">
        <v>29</v>
      </c>
      <c r="F107" s="4">
        <v>2.0499999999999998</v>
      </c>
      <c r="G107" s="4">
        <v>7.46</v>
      </c>
      <c r="H107" s="9">
        <f t="shared" si="0"/>
        <v>3.6390243902439026</v>
      </c>
    </row>
    <row r="108" spans="3:8" x14ac:dyDescent="0.15">
      <c r="C108" s="4" t="s">
        <v>34</v>
      </c>
      <c r="D108" s="5" t="s">
        <v>35</v>
      </c>
      <c r="E108" s="4" t="s">
        <v>9</v>
      </c>
      <c r="F108" s="4">
        <v>0.7</v>
      </c>
      <c r="G108" s="4">
        <v>3.74</v>
      </c>
      <c r="H108" s="9">
        <f t="shared" si="0"/>
        <v>5.3428571428571434</v>
      </c>
    </row>
    <row r="109" spans="3:8" x14ac:dyDescent="0.15">
      <c r="C109" s="4" t="s">
        <v>34</v>
      </c>
      <c r="D109" s="5" t="s">
        <v>40</v>
      </c>
      <c r="E109" s="4" t="s">
        <v>16</v>
      </c>
      <c r="F109" s="4">
        <v>17.27</v>
      </c>
      <c r="G109" s="4">
        <v>49.49</v>
      </c>
      <c r="H109" s="9">
        <f t="shared" si="0"/>
        <v>2.8656629994209615</v>
      </c>
    </row>
    <row r="110" spans="3:8" x14ac:dyDescent="0.15">
      <c r="C110" s="4" t="s">
        <v>34</v>
      </c>
      <c r="D110" s="5" t="s">
        <v>40</v>
      </c>
      <c r="E110" s="4" t="s">
        <v>15</v>
      </c>
      <c r="F110" s="4">
        <v>3.84</v>
      </c>
      <c r="G110" s="4">
        <v>12.81</v>
      </c>
      <c r="H110" s="9">
        <f t="shared" si="0"/>
        <v>3.3359375000000004</v>
      </c>
    </row>
    <row r="111" spans="3:8" x14ac:dyDescent="0.15">
      <c r="C111" s="4" t="s">
        <v>34</v>
      </c>
      <c r="D111" s="5" t="s">
        <v>40</v>
      </c>
      <c r="E111" s="4" t="s">
        <v>14</v>
      </c>
      <c r="F111" s="4">
        <v>4.7699999999999996</v>
      </c>
      <c r="G111" s="4">
        <v>11.91</v>
      </c>
      <c r="H111" s="9">
        <f t="shared" si="0"/>
        <v>2.4968553459119498</v>
      </c>
    </row>
    <row r="112" spans="3:8" x14ac:dyDescent="0.15">
      <c r="C112" s="4" t="s">
        <v>34</v>
      </c>
      <c r="D112" s="5" t="s">
        <v>40</v>
      </c>
      <c r="E112" s="4" t="s">
        <v>13</v>
      </c>
      <c r="F112" s="4">
        <v>2.96</v>
      </c>
      <c r="G112" s="4">
        <v>2.5099999999999998</v>
      </c>
      <c r="H112" s="9">
        <f t="shared" si="0"/>
        <v>0.84797297297297292</v>
      </c>
    </row>
    <row r="113" spans="3:8" x14ac:dyDescent="0.15">
      <c r="C113" s="4" t="s">
        <v>34</v>
      </c>
      <c r="D113" s="5" t="s">
        <v>40</v>
      </c>
      <c r="E113" s="4" t="s">
        <v>7</v>
      </c>
      <c r="F113" s="4">
        <v>1.42</v>
      </c>
      <c r="G113" s="4">
        <v>0.71</v>
      </c>
      <c r="H113" s="9">
        <f t="shared" si="0"/>
        <v>0.5</v>
      </c>
    </row>
    <row r="114" spans="3:8" x14ac:dyDescent="0.15">
      <c r="C114" s="4" t="s">
        <v>34</v>
      </c>
      <c r="D114" s="5" t="s">
        <v>40</v>
      </c>
      <c r="E114" s="4" t="s">
        <v>12</v>
      </c>
      <c r="F114" s="4">
        <v>1.9</v>
      </c>
      <c r="G114" s="4">
        <v>0.69</v>
      </c>
      <c r="H114" s="9">
        <f t="shared" si="0"/>
        <v>0.36315789473684207</v>
      </c>
    </row>
    <row r="115" spans="3:8" x14ac:dyDescent="0.15">
      <c r="C115" s="4" t="s">
        <v>34</v>
      </c>
      <c r="D115" s="5" t="s">
        <v>40</v>
      </c>
      <c r="E115" s="4" t="s">
        <v>27</v>
      </c>
      <c r="F115" s="4">
        <v>1.06</v>
      </c>
      <c r="G115" s="4">
        <v>0.32</v>
      </c>
      <c r="H115" s="9">
        <f t="shared" si="0"/>
        <v>0.30188679245283018</v>
      </c>
    </row>
    <row r="116" spans="3:8" x14ac:dyDescent="0.15">
      <c r="C116" s="4" t="s">
        <v>34</v>
      </c>
      <c r="D116" s="5" t="s">
        <v>40</v>
      </c>
      <c r="E116" s="4" t="s">
        <v>28</v>
      </c>
      <c r="F116" s="4">
        <v>2.52</v>
      </c>
      <c r="G116" s="4">
        <v>2.21</v>
      </c>
      <c r="H116" s="9">
        <f t="shared" si="0"/>
        <v>0.87698412698412698</v>
      </c>
    </row>
    <row r="117" spans="3:8" x14ac:dyDescent="0.15">
      <c r="C117" s="4" t="s">
        <v>34</v>
      </c>
      <c r="D117" s="5" t="s">
        <v>40</v>
      </c>
      <c r="E117" s="4" t="s">
        <v>29</v>
      </c>
      <c r="F117" s="4">
        <v>4.9800000000000004</v>
      </c>
      <c r="G117" s="4">
        <v>2.31</v>
      </c>
      <c r="H117" s="9">
        <f t="shared" si="0"/>
        <v>0.46385542168674698</v>
      </c>
    </row>
    <row r="118" spans="3:8" x14ac:dyDescent="0.15">
      <c r="C118" s="4" t="s">
        <v>34</v>
      </c>
      <c r="D118" s="5" t="s">
        <v>40</v>
      </c>
      <c r="E118" s="4" t="s">
        <v>9</v>
      </c>
      <c r="F118" s="4">
        <v>4.22</v>
      </c>
      <c r="G118" s="4">
        <v>1.39</v>
      </c>
      <c r="H118" s="9">
        <f t="shared" si="0"/>
        <v>0.32938388625592419</v>
      </c>
    </row>
    <row r="119" spans="3:8" x14ac:dyDescent="0.15">
      <c r="C119" s="4" t="s">
        <v>34</v>
      </c>
      <c r="D119" s="5" t="s">
        <v>41</v>
      </c>
      <c r="E119" s="4" t="s">
        <v>16</v>
      </c>
      <c r="F119" s="4">
        <v>5.04</v>
      </c>
      <c r="G119" s="4">
        <v>26.03</v>
      </c>
      <c r="H119" s="9">
        <f t="shared" si="0"/>
        <v>5.1646825396825395</v>
      </c>
    </row>
    <row r="120" spans="3:8" x14ac:dyDescent="0.15">
      <c r="C120" s="4" t="s">
        <v>34</v>
      </c>
      <c r="D120" s="5" t="s">
        <v>41</v>
      </c>
      <c r="E120" s="4" t="s">
        <v>15</v>
      </c>
      <c r="F120" s="4">
        <v>0.76</v>
      </c>
      <c r="G120" s="4">
        <v>8.57</v>
      </c>
      <c r="H120" s="9">
        <f t="shared" si="0"/>
        <v>11.276315789473685</v>
      </c>
    </row>
    <row r="121" spans="3:8" x14ac:dyDescent="0.15">
      <c r="C121" s="4" t="s">
        <v>34</v>
      </c>
      <c r="D121" s="5" t="s">
        <v>41</v>
      </c>
      <c r="E121" s="4" t="s">
        <v>14</v>
      </c>
      <c r="F121" s="4">
        <v>1.45</v>
      </c>
      <c r="G121" s="4">
        <v>8.93</v>
      </c>
      <c r="H121" s="9">
        <f t="shared" si="0"/>
        <v>6.1586206896551721</v>
      </c>
    </row>
    <row r="122" spans="3:8" x14ac:dyDescent="0.15">
      <c r="C122" s="4" t="s">
        <v>34</v>
      </c>
      <c r="D122" s="5" t="s">
        <v>41</v>
      </c>
      <c r="E122" s="4" t="s">
        <v>13</v>
      </c>
      <c r="F122" s="4">
        <v>1.88</v>
      </c>
      <c r="G122" s="4">
        <v>3.79</v>
      </c>
      <c r="H122" s="9">
        <f t="shared" si="0"/>
        <v>2.0159574468085109</v>
      </c>
    </row>
    <row r="123" spans="3:8" x14ac:dyDescent="0.15">
      <c r="C123" s="4" t="s">
        <v>34</v>
      </c>
      <c r="D123" s="5" t="s">
        <v>41</v>
      </c>
      <c r="E123" s="4" t="s">
        <v>7</v>
      </c>
      <c r="F123" s="4">
        <v>0.96</v>
      </c>
      <c r="G123" s="4">
        <v>2.42</v>
      </c>
      <c r="H123" s="9">
        <f t="shared" si="0"/>
        <v>2.5208333333333335</v>
      </c>
    </row>
    <row r="124" spans="3:8" x14ac:dyDescent="0.15">
      <c r="C124" s="4" t="s">
        <v>34</v>
      </c>
      <c r="D124" s="5" t="s">
        <v>41</v>
      </c>
      <c r="E124" s="4" t="s">
        <v>12</v>
      </c>
      <c r="F124" s="4">
        <v>1.92</v>
      </c>
      <c r="G124" s="4">
        <v>2.35</v>
      </c>
      <c r="H124" s="9">
        <f t="shared" si="0"/>
        <v>1.2239583333333335</v>
      </c>
    </row>
    <row r="125" spans="3:8" x14ac:dyDescent="0.15">
      <c r="C125" s="4" t="s">
        <v>34</v>
      </c>
      <c r="D125" s="5" t="s">
        <v>41</v>
      </c>
      <c r="E125" s="4" t="s">
        <v>27</v>
      </c>
      <c r="F125" s="4">
        <v>1.85</v>
      </c>
      <c r="G125" s="4">
        <v>1.43</v>
      </c>
      <c r="H125" s="9">
        <f t="shared" si="0"/>
        <v>0.77297297297297285</v>
      </c>
    </row>
    <row r="126" spans="3:8" x14ac:dyDescent="0.15">
      <c r="C126" s="4" t="s">
        <v>34</v>
      </c>
      <c r="D126" s="5" t="s">
        <v>41</v>
      </c>
      <c r="E126" s="4" t="s">
        <v>28</v>
      </c>
      <c r="F126" s="4">
        <v>0.71</v>
      </c>
      <c r="G126" s="4">
        <v>3.65</v>
      </c>
      <c r="H126" s="9">
        <f t="shared" si="0"/>
        <v>5.140845070422535</v>
      </c>
    </row>
    <row r="127" spans="3:8" x14ac:dyDescent="0.15">
      <c r="C127" s="4" t="s">
        <v>34</v>
      </c>
      <c r="D127" s="5" t="s">
        <v>41</v>
      </c>
      <c r="E127" s="4" t="s">
        <v>29</v>
      </c>
      <c r="F127" s="4">
        <v>1.75</v>
      </c>
      <c r="G127" s="4">
        <v>5.6</v>
      </c>
      <c r="H127" s="9">
        <f t="shared" si="0"/>
        <v>3.1999999999999997</v>
      </c>
    </row>
    <row r="128" spans="3:8" x14ac:dyDescent="0.15">
      <c r="C128" s="4" t="s">
        <v>34</v>
      </c>
      <c r="D128" s="5" t="s">
        <v>41</v>
      </c>
      <c r="E128" s="4" t="s">
        <v>9</v>
      </c>
      <c r="F128" s="4">
        <v>4.53</v>
      </c>
      <c r="G128" s="4">
        <v>4.24</v>
      </c>
      <c r="H128" s="9">
        <f t="shared" si="0"/>
        <v>0.9359823399558499</v>
      </c>
    </row>
    <row r="129" spans="3:8" x14ac:dyDescent="0.15">
      <c r="C129" s="4" t="s">
        <v>34</v>
      </c>
      <c r="D129" s="5" t="s">
        <v>42</v>
      </c>
      <c r="E129" s="4" t="s">
        <v>16</v>
      </c>
      <c r="F129" s="4">
        <v>1.93</v>
      </c>
      <c r="G129" s="4">
        <v>10.89</v>
      </c>
      <c r="H129" s="9">
        <f t="shared" si="0"/>
        <v>5.6424870466321249</v>
      </c>
    </row>
    <row r="130" spans="3:8" x14ac:dyDescent="0.15">
      <c r="C130" s="4" t="s">
        <v>34</v>
      </c>
      <c r="D130" s="5" t="s">
        <v>42</v>
      </c>
      <c r="E130" s="4" t="s">
        <v>15</v>
      </c>
      <c r="F130" s="4">
        <v>0.52</v>
      </c>
      <c r="G130" s="4">
        <v>4.5199999999999996</v>
      </c>
      <c r="H130" s="9">
        <f t="shared" si="0"/>
        <v>8.6923076923076916</v>
      </c>
    </row>
    <row r="131" spans="3:8" x14ac:dyDescent="0.15">
      <c r="C131" s="4" t="s">
        <v>34</v>
      </c>
      <c r="D131" s="5" t="s">
        <v>42</v>
      </c>
      <c r="E131" s="4" t="s">
        <v>14</v>
      </c>
      <c r="F131" s="4">
        <v>1.04</v>
      </c>
      <c r="G131" s="4">
        <v>3.46</v>
      </c>
      <c r="H131" s="9">
        <f t="shared" si="0"/>
        <v>3.3269230769230766</v>
      </c>
    </row>
    <row r="132" spans="3:8" x14ac:dyDescent="0.15">
      <c r="C132" s="4" t="s">
        <v>34</v>
      </c>
      <c r="D132" s="5" t="s">
        <v>42</v>
      </c>
      <c r="E132" s="4" t="s">
        <v>13</v>
      </c>
      <c r="F132" s="4">
        <v>1.55</v>
      </c>
      <c r="G132" s="4">
        <v>1.25</v>
      </c>
      <c r="H132" s="9">
        <f t="shared" si="0"/>
        <v>0.80645161290322576</v>
      </c>
    </row>
    <row r="133" spans="3:8" x14ac:dyDescent="0.15">
      <c r="C133" s="4" t="s">
        <v>34</v>
      </c>
      <c r="D133" s="5" t="s">
        <v>42</v>
      </c>
      <c r="E133" s="4" t="s">
        <v>7</v>
      </c>
      <c r="F133" s="4">
        <v>0.79</v>
      </c>
      <c r="G133" s="4">
        <v>0.52</v>
      </c>
      <c r="H133" s="9">
        <f t="shared" si="0"/>
        <v>0.65822784810126578</v>
      </c>
    </row>
    <row r="134" spans="3:8" x14ac:dyDescent="0.15">
      <c r="C134" s="4" t="s">
        <v>34</v>
      </c>
      <c r="D134" s="5" t="s">
        <v>42</v>
      </c>
      <c r="E134" s="4" t="s">
        <v>12</v>
      </c>
      <c r="F134" s="4">
        <v>1.71</v>
      </c>
      <c r="G134" s="4">
        <v>0.44</v>
      </c>
      <c r="H134" s="9">
        <f t="shared" si="0"/>
        <v>0.25730994152046782</v>
      </c>
    </row>
    <row r="135" spans="3:8" x14ac:dyDescent="0.15">
      <c r="C135" s="4" t="s">
        <v>34</v>
      </c>
      <c r="D135" s="5" t="s">
        <v>42</v>
      </c>
      <c r="E135" s="4" t="s">
        <v>27</v>
      </c>
      <c r="F135" s="4">
        <v>1.43</v>
      </c>
      <c r="G135" s="4">
        <v>0.15</v>
      </c>
      <c r="H135" s="9">
        <f t="shared" si="0"/>
        <v>0.1048951048951049</v>
      </c>
    </row>
    <row r="136" spans="3:8" x14ac:dyDescent="0.15">
      <c r="C136" s="4" t="s">
        <v>34</v>
      </c>
      <c r="D136" s="5" t="s">
        <v>42</v>
      </c>
      <c r="E136" s="4" t="s">
        <v>28</v>
      </c>
      <c r="F136" s="4">
        <v>0.89</v>
      </c>
      <c r="G136" s="4">
        <v>4.12</v>
      </c>
      <c r="H136" s="9">
        <f t="shared" si="0"/>
        <v>4.6292134831460672</v>
      </c>
    </row>
    <row r="137" spans="3:8" x14ac:dyDescent="0.15">
      <c r="C137" s="4" t="s">
        <v>34</v>
      </c>
      <c r="D137" s="5" t="s">
        <v>42</v>
      </c>
      <c r="E137" s="4" t="s">
        <v>9</v>
      </c>
      <c r="F137" s="4">
        <v>2.39</v>
      </c>
      <c r="G137" s="4">
        <v>1.24</v>
      </c>
      <c r="H137" s="9">
        <f>G137/F137</f>
        <v>0.51882845188284521</v>
      </c>
    </row>
    <row r="141" spans="3:8" x14ac:dyDescent="0.15">
      <c r="C141" s="12" t="s">
        <v>114</v>
      </c>
      <c r="D141" s="18" t="s">
        <v>115</v>
      </c>
      <c r="E141" s="12" t="s">
        <v>116</v>
      </c>
      <c r="F141" s="13" t="s">
        <v>37</v>
      </c>
      <c r="G141" s="12" t="s">
        <v>39</v>
      </c>
      <c r="H141" s="12" t="s">
        <v>44</v>
      </c>
    </row>
    <row r="142" spans="3:8" x14ac:dyDescent="0.15">
      <c r="C142" s="4" t="s">
        <v>45</v>
      </c>
      <c r="D142" s="5" t="s">
        <v>1</v>
      </c>
      <c r="E142" s="4" t="s">
        <v>25</v>
      </c>
      <c r="F142" s="4">
        <v>4.2</v>
      </c>
      <c r="G142" s="4">
        <v>2.5</v>
      </c>
      <c r="H142" s="9">
        <f>G142/F142</f>
        <v>0.59523809523809523</v>
      </c>
    </row>
    <row r="143" spans="3:8" x14ac:dyDescent="0.15">
      <c r="C143" s="4" t="s">
        <v>45</v>
      </c>
      <c r="D143" s="5" t="s">
        <v>1</v>
      </c>
      <c r="E143" s="4" t="s">
        <v>25</v>
      </c>
      <c r="F143" s="4">
        <v>3.2</v>
      </c>
      <c r="G143" s="4">
        <v>1.9</v>
      </c>
      <c r="H143" s="9">
        <f t="shared" ref="H143:H206" si="1">G143/F143</f>
        <v>0.59374999999999989</v>
      </c>
    </row>
    <row r="144" spans="3:8" x14ac:dyDescent="0.15">
      <c r="C144" s="4" t="s">
        <v>45</v>
      </c>
      <c r="D144" s="5" t="s">
        <v>1</v>
      </c>
      <c r="E144" s="4" t="s">
        <v>25</v>
      </c>
      <c r="F144" s="4">
        <v>7.9</v>
      </c>
      <c r="G144" s="4">
        <v>6.6</v>
      </c>
      <c r="H144" s="9">
        <f t="shared" si="1"/>
        <v>0.83544303797468344</v>
      </c>
    </row>
    <row r="145" spans="3:8" x14ac:dyDescent="0.15">
      <c r="C145" s="4" t="s">
        <v>45</v>
      </c>
      <c r="D145" s="5" t="s">
        <v>1</v>
      </c>
      <c r="E145" s="4" t="s">
        <v>25</v>
      </c>
      <c r="F145" s="4">
        <v>13.5</v>
      </c>
      <c r="G145" s="4">
        <v>6.4</v>
      </c>
      <c r="H145" s="9">
        <f t="shared" si="1"/>
        <v>0.47407407407407409</v>
      </c>
    </row>
    <row r="146" spans="3:8" x14ac:dyDescent="0.15">
      <c r="C146" s="4" t="s">
        <v>45</v>
      </c>
      <c r="D146" s="5" t="s">
        <v>1</v>
      </c>
      <c r="E146" s="4" t="s">
        <v>25</v>
      </c>
      <c r="F146" s="4">
        <v>7.6</v>
      </c>
      <c r="G146" s="4">
        <v>3.4</v>
      </c>
      <c r="H146" s="9">
        <f t="shared" si="1"/>
        <v>0.44736842105263158</v>
      </c>
    </row>
    <row r="147" spans="3:8" x14ac:dyDescent="0.15">
      <c r="C147" s="4" t="s">
        <v>45</v>
      </c>
      <c r="D147" s="5" t="s">
        <v>1</v>
      </c>
      <c r="E147" s="4" t="s">
        <v>25</v>
      </c>
      <c r="F147" s="4">
        <v>6.2</v>
      </c>
      <c r="G147" s="4">
        <v>5.2</v>
      </c>
      <c r="H147" s="9">
        <f t="shared" si="1"/>
        <v>0.83870967741935487</v>
      </c>
    </row>
    <row r="148" spans="3:8" x14ac:dyDescent="0.15">
      <c r="C148" s="4" t="s">
        <v>45</v>
      </c>
      <c r="D148" s="5" t="s">
        <v>1</v>
      </c>
      <c r="E148" s="4" t="s">
        <v>25</v>
      </c>
      <c r="F148" s="4">
        <v>6.9</v>
      </c>
      <c r="G148" s="4">
        <v>2.5</v>
      </c>
      <c r="H148" s="9">
        <f t="shared" si="1"/>
        <v>0.36231884057971014</v>
      </c>
    </row>
    <row r="149" spans="3:8" x14ac:dyDescent="0.15">
      <c r="C149" s="4" t="s">
        <v>45</v>
      </c>
      <c r="D149" s="5" t="s">
        <v>1</v>
      </c>
      <c r="E149" s="4" t="s">
        <v>25</v>
      </c>
      <c r="F149" s="4">
        <v>10.3</v>
      </c>
      <c r="G149" s="4">
        <v>3.1</v>
      </c>
      <c r="H149" s="9">
        <f t="shared" si="1"/>
        <v>0.30097087378640774</v>
      </c>
    </row>
    <row r="150" spans="3:8" x14ac:dyDescent="0.15">
      <c r="C150" s="4" t="s">
        <v>45</v>
      </c>
      <c r="D150" s="5" t="s">
        <v>1</v>
      </c>
      <c r="E150" s="4" t="s">
        <v>25</v>
      </c>
      <c r="F150" s="4">
        <v>3.2</v>
      </c>
      <c r="G150" s="4">
        <v>2.9</v>
      </c>
      <c r="H150" s="9">
        <f t="shared" si="1"/>
        <v>0.90624999999999989</v>
      </c>
    </row>
    <row r="151" spans="3:8" x14ac:dyDescent="0.15">
      <c r="C151" s="4" t="s">
        <v>45</v>
      </c>
      <c r="D151" s="5" t="s">
        <v>1</v>
      </c>
      <c r="E151" s="4" t="s">
        <v>25</v>
      </c>
      <c r="F151" s="4">
        <v>2.2999999999999998</v>
      </c>
      <c r="G151" s="4">
        <v>1.3</v>
      </c>
      <c r="H151" s="9">
        <f t="shared" si="1"/>
        <v>0.56521739130434789</v>
      </c>
    </row>
    <row r="152" spans="3:8" x14ac:dyDescent="0.15">
      <c r="C152" s="4" t="s">
        <v>45</v>
      </c>
      <c r="D152" s="5" t="s">
        <v>1</v>
      </c>
      <c r="E152" s="4" t="s">
        <v>25</v>
      </c>
      <c r="F152" s="4">
        <v>4.2</v>
      </c>
      <c r="G152" s="4">
        <v>2.2999999999999998</v>
      </c>
      <c r="H152" s="9">
        <f t="shared" si="1"/>
        <v>0.54761904761904756</v>
      </c>
    </row>
    <row r="153" spans="3:8" x14ac:dyDescent="0.15">
      <c r="C153" s="4" t="s">
        <v>45</v>
      </c>
      <c r="D153" s="5" t="s">
        <v>1</v>
      </c>
      <c r="E153" s="4" t="s">
        <v>25</v>
      </c>
      <c r="F153" s="4">
        <v>3.7</v>
      </c>
      <c r="G153" s="4">
        <v>2</v>
      </c>
      <c r="H153" s="9">
        <f t="shared" si="1"/>
        <v>0.54054054054054046</v>
      </c>
    </row>
    <row r="154" spans="3:8" x14ac:dyDescent="0.15">
      <c r="C154" s="4" t="s">
        <v>45</v>
      </c>
      <c r="D154" s="5" t="s">
        <v>1</v>
      </c>
      <c r="E154" s="4" t="s">
        <v>25</v>
      </c>
      <c r="F154" s="4">
        <v>3.6</v>
      </c>
      <c r="G154" s="4">
        <v>1.7</v>
      </c>
      <c r="H154" s="9">
        <f t="shared" si="1"/>
        <v>0.47222222222222221</v>
      </c>
    </row>
    <row r="155" spans="3:8" x14ac:dyDescent="0.15">
      <c r="C155" s="4" t="s">
        <v>45</v>
      </c>
      <c r="D155" s="5" t="s">
        <v>1</v>
      </c>
      <c r="E155" s="4" t="s">
        <v>25</v>
      </c>
      <c r="F155" s="4">
        <v>3.4</v>
      </c>
      <c r="G155" s="4">
        <v>2.1</v>
      </c>
      <c r="H155" s="9">
        <f t="shared" si="1"/>
        <v>0.61764705882352944</v>
      </c>
    </row>
    <row r="156" spans="3:8" x14ac:dyDescent="0.15">
      <c r="C156" s="4" t="s">
        <v>45</v>
      </c>
      <c r="D156" s="5" t="s">
        <v>1</v>
      </c>
      <c r="E156" s="4" t="s">
        <v>25</v>
      </c>
      <c r="F156" s="4">
        <v>3.4</v>
      </c>
      <c r="G156" s="4">
        <v>1.2</v>
      </c>
      <c r="H156" s="9">
        <f t="shared" si="1"/>
        <v>0.35294117647058826</v>
      </c>
    </row>
    <row r="157" spans="3:8" x14ac:dyDescent="0.15">
      <c r="C157" s="4" t="s">
        <v>45</v>
      </c>
      <c r="D157" s="5" t="s">
        <v>1</v>
      </c>
      <c r="E157" s="4" t="s">
        <v>25</v>
      </c>
      <c r="F157" s="4">
        <v>4.0999999999999996</v>
      </c>
      <c r="G157" s="4">
        <v>1.8</v>
      </c>
      <c r="H157" s="9">
        <f t="shared" si="1"/>
        <v>0.4390243902439025</v>
      </c>
    </row>
    <row r="158" spans="3:8" x14ac:dyDescent="0.15">
      <c r="C158" s="4" t="s">
        <v>45</v>
      </c>
      <c r="D158" s="5" t="s">
        <v>1</v>
      </c>
      <c r="E158" s="4" t="s">
        <v>25</v>
      </c>
      <c r="F158" s="4">
        <v>3.8</v>
      </c>
      <c r="G158" s="4">
        <v>1.9</v>
      </c>
      <c r="H158" s="9">
        <f t="shared" si="1"/>
        <v>0.5</v>
      </c>
    </row>
    <row r="159" spans="3:8" x14ac:dyDescent="0.15">
      <c r="C159" s="4" t="s">
        <v>45</v>
      </c>
      <c r="D159" s="5" t="s">
        <v>1</v>
      </c>
      <c r="E159" s="4" t="s">
        <v>25</v>
      </c>
      <c r="F159" s="4">
        <v>5.2</v>
      </c>
      <c r="G159" s="4">
        <v>2.5</v>
      </c>
      <c r="H159" s="9">
        <f t="shared" si="1"/>
        <v>0.48076923076923073</v>
      </c>
    </row>
    <row r="160" spans="3:8" x14ac:dyDescent="0.15">
      <c r="C160" s="4" t="s">
        <v>45</v>
      </c>
      <c r="D160" s="5" t="s">
        <v>1</v>
      </c>
      <c r="E160" s="4" t="s">
        <v>25</v>
      </c>
      <c r="F160" s="4">
        <v>7.3</v>
      </c>
      <c r="G160" s="4">
        <v>4</v>
      </c>
      <c r="H160" s="9">
        <f t="shared" si="1"/>
        <v>0.54794520547945202</v>
      </c>
    </row>
    <row r="161" spans="3:8" x14ac:dyDescent="0.15">
      <c r="C161" s="4" t="s">
        <v>45</v>
      </c>
      <c r="D161" s="5" t="s">
        <v>1</v>
      </c>
      <c r="E161" s="4" t="s">
        <v>25</v>
      </c>
      <c r="F161" s="4">
        <v>17.7</v>
      </c>
      <c r="G161" s="4">
        <v>5.2</v>
      </c>
      <c r="H161" s="9">
        <f t="shared" si="1"/>
        <v>0.29378531073446329</v>
      </c>
    </row>
    <row r="162" spans="3:8" x14ac:dyDescent="0.15">
      <c r="C162" s="4" t="s">
        <v>45</v>
      </c>
      <c r="D162" s="5" t="s">
        <v>1</v>
      </c>
      <c r="E162" s="4" t="s">
        <v>25</v>
      </c>
      <c r="F162" s="4">
        <v>4.7</v>
      </c>
      <c r="G162" s="4">
        <v>4</v>
      </c>
      <c r="H162" s="9">
        <f t="shared" si="1"/>
        <v>0.85106382978723405</v>
      </c>
    </row>
    <row r="163" spans="3:8" x14ac:dyDescent="0.15">
      <c r="C163" s="4" t="s">
        <v>45</v>
      </c>
      <c r="D163" s="5" t="s">
        <v>1</v>
      </c>
      <c r="E163" s="4" t="s">
        <v>25</v>
      </c>
      <c r="F163" s="4">
        <v>5.9</v>
      </c>
      <c r="G163" s="4">
        <v>3.3</v>
      </c>
      <c r="H163" s="9">
        <f t="shared" si="1"/>
        <v>0.55932203389830504</v>
      </c>
    </row>
    <row r="164" spans="3:8" x14ac:dyDescent="0.15">
      <c r="C164" s="4" t="s">
        <v>45</v>
      </c>
      <c r="D164" s="5" t="s">
        <v>1</v>
      </c>
      <c r="E164" s="4" t="s">
        <v>25</v>
      </c>
      <c r="F164" s="4">
        <v>12.2</v>
      </c>
      <c r="G164" s="4">
        <v>4.3</v>
      </c>
      <c r="H164" s="9">
        <f t="shared" si="1"/>
        <v>0.35245901639344263</v>
      </c>
    </row>
    <row r="165" spans="3:8" x14ac:dyDescent="0.15">
      <c r="C165" s="4" t="s">
        <v>45</v>
      </c>
      <c r="D165" s="5" t="s">
        <v>1</v>
      </c>
      <c r="E165" s="4" t="s">
        <v>25</v>
      </c>
      <c r="F165" s="4">
        <v>9.3000000000000007</v>
      </c>
      <c r="G165" s="4">
        <v>6</v>
      </c>
      <c r="H165" s="9">
        <f t="shared" si="1"/>
        <v>0.64516129032258063</v>
      </c>
    </row>
    <row r="166" spans="3:8" x14ac:dyDescent="0.15">
      <c r="C166" s="4" t="s">
        <v>45</v>
      </c>
      <c r="D166" s="5" t="s">
        <v>1</v>
      </c>
      <c r="E166" s="4" t="s">
        <v>25</v>
      </c>
      <c r="F166" s="4">
        <v>6.9</v>
      </c>
      <c r="G166" s="4">
        <v>2.1</v>
      </c>
      <c r="H166" s="9">
        <f t="shared" si="1"/>
        <v>0.30434782608695654</v>
      </c>
    </row>
    <row r="167" spans="3:8" x14ac:dyDescent="0.15">
      <c r="C167" s="4" t="s">
        <v>45</v>
      </c>
      <c r="D167" s="5" t="s">
        <v>1</v>
      </c>
      <c r="E167" s="4" t="s">
        <v>25</v>
      </c>
      <c r="F167" s="4">
        <v>11.2</v>
      </c>
      <c r="G167" s="4">
        <v>4.8</v>
      </c>
      <c r="H167" s="9">
        <f t="shared" si="1"/>
        <v>0.4285714285714286</v>
      </c>
    </row>
    <row r="168" spans="3:8" x14ac:dyDescent="0.15">
      <c r="C168" s="4" t="s">
        <v>45</v>
      </c>
      <c r="D168" s="5" t="s">
        <v>1</v>
      </c>
      <c r="E168" s="4" t="s">
        <v>25</v>
      </c>
      <c r="F168" s="4">
        <v>4.5</v>
      </c>
      <c r="G168" s="4">
        <v>1.9</v>
      </c>
      <c r="H168" s="9">
        <f t="shared" si="1"/>
        <v>0.42222222222222222</v>
      </c>
    </row>
    <row r="169" spans="3:8" x14ac:dyDescent="0.15">
      <c r="C169" s="4" t="s">
        <v>45</v>
      </c>
      <c r="D169" s="5" t="s">
        <v>1</v>
      </c>
      <c r="E169" s="4" t="s">
        <v>25</v>
      </c>
      <c r="F169" s="4">
        <v>2.6</v>
      </c>
      <c r="G169" s="4">
        <v>1.7</v>
      </c>
      <c r="H169" s="9">
        <f t="shared" si="1"/>
        <v>0.65384615384615385</v>
      </c>
    </row>
    <row r="170" spans="3:8" x14ac:dyDescent="0.15">
      <c r="C170" s="4" t="s">
        <v>45</v>
      </c>
      <c r="D170" s="5" t="s">
        <v>1</v>
      </c>
      <c r="E170" s="4" t="s">
        <v>25</v>
      </c>
      <c r="F170" s="4">
        <v>6.3</v>
      </c>
      <c r="G170" s="4">
        <v>4</v>
      </c>
      <c r="H170" s="9">
        <f t="shared" si="1"/>
        <v>0.63492063492063489</v>
      </c>
    </row>
    <row r="171" spans="3:8" x14ac:dyDescent="0.15">
      <c r="C171" s="4" t="s">
        <v>45</v>
      </c>
      <c r="D171" s="5" t="s">
        <v>1</v>
      </c>
      <c r="E171" s="4" t="s">
        <v>25</v>
      </c>
      <c r="F171" s="4">
        <v>2.9</v>
      </c>
      <c r="G171" s="4">
        <v>1.6</v>
      </c>
      <c r="H171" s="9">
        <f t="shared" si="1"/>
        <v>0.55172413793103448</v>
      </c>
    </row>
    <row r="172" spans="3:8" x14ac:dyDescent="0.15">
      <c r="C172" s="4" t="s">
        <v>45</v>
      </c>
      <c r="D172" s="5" t="s">
        <v>1</v>
      </c>
      <c r="E172" s="4" t="s">
        <v>25</v>
      </c>
      <c r="F172" s="4">
        <v>3</v>
      </c>
      <c r="G172" s="4">
        <v>2.1</v>
      </c>
      <c r="H172" s="9">
        <f t="shared" si="1"/>
        <v>0.70000000000000007</v>
      </c>
    </row>
    <row r="173" spans="3:8" x14ac:dyDescent="0.15">
      <c r="C173" s="4" t="s">
        <v>45</v>
      </c>
      <c r="D173" s="5" t="s">
        <v>1</v>
      </c>
      <c r="E173" s="4" t="s">
        <v>25</v>
      </c>
      <c r="F173" s="4">
        <v>2</v>
      </c>
      <c r="G173" s="4">
        <v>2.2999999999999998</v>
      </c>
      <c r="H173" s="9">
        <f t="shared" si="1"/>
        <v>1.1499999999999999</v>
      </c>
    </row>
    <row r="174" spans="3:8" x14ac:dyDescent="0.15">
      <c r="C174" s="4" t="s">
        <v>45</v>
      </c>
      <c r="D174" s="5" t="s">
        <v>1</v>
      </c>
      <c r="E174" s="4" t="s">
        <v>25</v>
      </c>
      <c r="F174" s="4">
        <v>6.5</v>
      </c>
      <c r="G174" s="4">
        <v>2</v>
      </c>
      <c r="H174" s="9">
        <f t="shared" si="1"/>
        <v>0.30769230769230771</v>
      </c>
    </row>
    <row r="175" spans="3:8" x14ac:dyDescent="0.15">
      <c r="C175" s="4" t="s">
        <v>45</v>
      </c>
      <c r="D175" s="5" t="s">
        <v>1</v>
      </c>
      <c r="E175" s="4" t="s">
        <v>25</v>
      </c>
      <c r="F175" s="4">
        <v>12.7</v>
      </c>
      <c r="G175" s="4">
        <v>2.5</v>
      </c>
      <c r="H175" s="9">
        <f t="shared" si="1"/>
        <v>0.19685039370078741</v>
      </c>
    </row>
    <row r="176" spans="3:8" x14ac:dyDescent="0.15">
      <c r="C176" s="4" t="s">
        <v>45</v>
      </c>
      <c r="D176" s="5" t="s">
        <v>1</v>
      </c>
      <c r="E176" s="4" t="s">
        <v>25</v>
      </c>
      <c r="F176" s="4">
        <v>2.7</v>
      </c>
      <c r="G176" s="4">
        <v>1.8</v>
      </c>
      <c r="H176" s="9">
        <f t="shared" si="1"/>
        <v>0.66666666666666663</v>
      </c>
    </row>
    <row r="177" spans="3:8" x14ac:dyDescent="0.15">
      <c r="C177" s="4" t="s">
        <v>45</v>
      </c>
      <c r="D177" s="5" t="s">
        <v>1</v>
      </c>
      <c r="E177" s="4" t="s">
        <v>25</v>
      </c>
      <c r="F177" s="4">
        <v>3.2</v>
      </c>
      <c r="G177" s="4">
        <v>1.9</v>
      </c>
      <c r="H177" s="9">
        <f t="shared" si="1"/>
        <v>0.59374999999999989</v>
      </c>
    </row>
    <row r="178" spans="3:8" x14ac:dyDescent="0.15">
      <c r="C178" s="4" t="s">
        <v>45</v>
      </c>
      <c r="D178" s="5" t="s">
        <v>1</v>
      </c>
      <c r="E178" s="4" t="s">
        <v>25</v>
      </c>
      <c r="F178" s="4">
        <v>3.5</v>
      </c>
      <c r="G178" s="4">
        <v>1.8</v>
      </c>
      <c r="H178" s="9">
        <f t="shared" si="1"/>
        <v>0.51428571428571435</v>
      </c>
    </row>
    <row r="179" spans="3:8" x14ac:dyDescent="0.15">
      <c r="C179" s="4" t="s">
        <v>45</v>
      </c>
      <c r="D179" s="5" t="s">
        <v>1</v>
      </c>
      <c r="E179" s="4" t="s">
        <v>25</v>
      </c>
      <c r="F179" s="4">
        <v>5.6</v>
      </c>
      <c r="G179" s="4">
        <v>2.4</v>
      </c>
      <c r="H179" s="9">
        <f t="shared" si="1"/>
        <v>0.4285714285714286</v>
      </c>
    </row>
    <row r="180" spans="3:8" x14ac:dyDescent="0.15">
      <c r="C180" s="4" t="s">
        <v>45</v>
      </c>
      <c r="D180" s="5" t="s">
        <v>1</v>
      </c>
      <c r="E180" s="4" t="s">
        <v>25</v>
      </c>
      <c r="F180" s="4">
        <v>5.0999999999999996</v>
      </c>
      <c r="G180" s="4">
        <v>3.3</v>
      </c>
      <c r="H180" s="9">
        <f t="shared" si="1"/>
        <v>0.6470588235294118</v>
      </c>
    </row>
    <row r="181" spans="3:8" x14ac:dyDescent="0.15">
      <c r="C181" s="4" t="s">
        <v>45</v>
      </c>
      <c r="D181" s="5" t="s">
        <v>1</v>
      </c>
      <c r="E181" s="4" t="s">
        <v>25</v>
      </c>
      <c r="F181" s="4">
        <v>6.3</v>
      </c>
      <c r="G181" s="4">
        <v>1.9</v>
      </c>
      <c r="H181" s="9">
        <f t="shared" si="1"/>
        <v>0.30158730158730157</v>
      </c>
    </row>
    <row r="184" spans="3:8" x14ac:dyDescent="0.15">
      <c r="C184" s="12" t="s">
        <v>114</v>
      </c>
      <c r="D184" s="18" t="s">
        <v>115</v>
      </c>
      <c r="E184" s="12" t="s">
        <v>116</v>
      </c>
      <c r="F184" s="8" t="s">
        <v>37</v>
      </c>
      <c r="G184" s="8" t="s">
        <v>39</v>
      </c>
      <c r="H184" s="8" t="s">
        <v>112</v>
      </c>
    </row>
    <row r="185" spans="3:8" x14ac:dyDescent="0.15">
      <c r="C185" s="4" t="s">
        <v>47</v>
      </c>
      <c r="D185" s="5" t="s">
        <v>1</v>
      </c>
      <c r="E185" s="4" t="s">
        <v>46</v>
      </c>
      <c r="F185" s="4">
        <v>3.63</v>
      </c>
      <c r="G185" s="4">
        <v>0.82</v>
      </c>
      <c r="H185" s="9">
        <f t="shared" si="1"/>
        <v>0.22589531680440772</v>
      </c>
    </row>
    <row r="186" spans="3:8" x14ac:dyDescent="0.15">
      <c r="C186" s="4" t="s">
        <v>47</v>
      </c>
      <c r="D186" s="5" t="s">
        <v>1</v>
      </c>
      <c r="E186" s="4" t="s">
        <v>46</v>
      </c>
      <c r="F186" s="4">
        <v>5.48</v>
      </c>
      <c r="G186" s="4">
        <v>0.56999999999999995</v>
      </c>
      <c r="H186" s="9">
        <f t="shared" si="1"/>
        <v>0.10401459854014597</v>
      </c>
    </row>
    <row r="187" spans="3:8" x14ac:dyDescent="0.15">
      <c r="C187" s="4" t="s">
        <v>47</v>
      </c>
      <c r="D187" s="5" t="s">
        <v>1</v>
      </c>
      <c r="E187" s="4" t="s">
        <v>46</v>
      </c>
      <c r="F187" s="4">
        <v>4.3499999999999996</v>
      </c>
      <c r="G187" s="4">
        <v>0.45</v>
      </c>
      <c r="H187" s="9">
        <f t="shared" si="1"/>
        <v>0.10344827586206898</v>
      </c>
    </row>
    <row r="188" spans="3:8" x14ac:dyDescent="0.15">
      <c r="C188" s="4" t="s">
        <v>47</v>
      </c>
      <c r="D188" s="5" t="s">
        <v>1</v>
      </c>
      <c r="E188" s="4" t="s">
        <v>46</v>
      </c>
      <c r="F188" s="4">
        <v>2.44</v>
      </c>
      <c r="G188" s="4">
        <v>0.44</v>
      </c>
      <c r="H188" s="9">
        <f t="shared" si="1"/>
        <v>0.18032786885245902</v>
      </c>
    </row>
    <row r="189" spans="3:8" x14ac:dyDescent="0.15">
      <c r="C189" s="4" t="s">
        <v>47</v>
      </c>
      <c r="D189" s="5" t="s">
        <v>1</v>
      </c>
      <c r="E189" s="4" t="s">
        <v>46</v>
      </c>
      <c r="F189" s="4">
        <v>2.14</v>
      </c>
      <c r="G189" s="4">
        <v>0.44</v>
      </c>
      <c r="H189" s="9">
        <f t="shared" si="1"/>
        <v>0.20560747663551401</v>
      </c>
    </row>
    <row r="190" spans="3:8" x14ac:dyDescent="0.15">
      <c r="C190" s="4" t="s">
        <v>47</v>
      </c>
      <c r="D190" s="5" t="s">
        <v>1</v>
      </c>
      <c r="E190" s="4" t="s">
        <v>46</v>
      </c>
      <c r="F190" s="4">
        <v>5.17</v>
      </c>
      <c r="G190" s="4">
        <v>0.39</v>
      </c>
      <c r="H190" s="9">
        <f t="shared" si="1"/>
        <v>7.5435203094777567E-2</v>
      </c>
    </row>
    <row r="191" spans="3:8" x14ac:dyDescent="0.15">
      <c r="C191" s="4" t="s">
        <v>47</v>
      </c>
      <c r="D191" s="5" t="s">
        <v>1</v>
      </c>
      <c r="E191" s="4" t="s">
        <v>46</v>
      </c>
      <c r="F191" s="4">
        <v>8.07</v>
      </c>
      <c r="G191" s="4">
        <v>0.38</v>
      </c>
      <c r="H191" s="9">
        <f t="shared" si="1"/>
        <v>4.7087980173482029E-2</v>
      </c>
    </row>
    <row r="192" spans="3:8" x14ac:dyDescent="0.15">
      <c r="C192" s="4" t="s">
        <v>47</v>
      </c>
      <c r="D192" s="5" t="s">
        <v>1</v>
      </c>
      <c r="E192" s="4" t="s">
        <v>46</v>
      </c>
      <c r="F192" s="4">
        <v>4.09</v>
      </c>
      <c r="G192" s="4">
        <v>0.38</v>
      </c>
      <c r="H192" s="9">
        <f t="shared" si="1"/>
        <v>9.2909535452322736E-2</v>
      </c>
    </row>
    <row r="193" spans="3:8" x14ac:dyDescent="0.15">
      <c r="C193" s="4" t="s">
        <v>47</v>
      </c>
      <c r="D193" s="5" t="s">
        <v>1</v>
      </c>
      <c r="E193" s="4" t="s">
        <v>46</v>
      </c>
      <c r="F193" s="4">
        <v>14.79</v>
      </c>
      <c r="G193" s="4">
        <v>0.37</v>
      </c>
      <c r="H193" s="9">
        <f t="shared" si="1"/>
        <v>2.5016903313049357E-2</v>
      </c>
    </row>
    <row r="194" spans="3:8" x14ac:dyDescent="0.15">
      <c r="C194" s="4" t="s">
        <v>47</v>
      </c>
      <c r="D194" s="5" t="s">
        <v>1</v>
      </c>
      <c r="E194" s="4" t="s">
        <v>46</v>
      </c>
      <c r="F194" s="4">
        <v>4.3</v>
      </c>
      <c r="G194" s="4">
        <v>0.34</v>
      </c>
      <c r="H194" s="9">
        <f t="shared" si="1"/>
        <v>7.9069767441860478E-2</v>
      </c>
    </row>
    <row r="195" spans="3:8" x14ac:dyDescent="0.15">
      <c r="C195" s="4" t="s">
        <v>47</v>
      </c>
      <c r="D195" s="5" t="s">
        <v>1</v>
      </c>
      <c r="E195" s="4" t="s">
        <v>46</v>
      </c>
      <c r="F195" s="4">
        <v>14.64</v>
      </c>
      <c r="G195" s="4">
        <v>0.33</v>
      </c>
      <c r="H195" s="9">
        <f t="shared" si="1"/>
        <v>2.2540983606557378E-2</v>
      </c>
    </row>
    <row r="196" spans="3:8" x14ac:dyDescent="0.15">
      <c r="C196" s="4" t="s">
        <v>47</v>
      </c>
      <c r="D196" s="5" t="s">
        <v>1</v>
      </c>
      <c r="E196" s="4" t="s">
        <v>46</v>
      </c>
      <c r="F196" s="4">
        <v>7.46</v>
      </c>
      <c r="G196" s="4">
        <v>0.32</v>
      </c>
      <c r="H196" s="9">
        <f t="shared" si="1"/>
        <v>4.2895442359249331E-2</v>
      </c>
    </row>
    <row r="197" spans="3:8" x14ac:dyDescent="0.15">
      <c r="C197" s="4" t="s">
        <v>47</v>
      </c>
      <c r="D197" s="5" t="s">
        <v>1</v>
      </c>
      <c r="E197" s="4" t="s">
        <v>46</v>
      </c>
      <c r="F197" s="4">
        <v>1.99</v>
      </c>
      <c r="G197" s="4">
        <v>0.32</v>
      </c>
      <c r="H197" s="9">
        <f t="shared" si="1"/>
        <v>0.16080402010050251</v>
      </c>
    </row>
    <row r="198" spans="3:8" x14ac:dyDescent="0.15">
      <c r="C198" s="4" t="s">
        <v>47</v>
      </c>
      <c r="D198" s="5" t="s">
        <v>1</v>
      </c>
      <c r="E198" s="4" t="s">
        <v>46</v>
      </c>
      <c r="F198" s="4">
        <v>8.7200000000000006</v>
      </c>
      <c r="G198" s="4">
        <v>0.31</v>
      </c>
      <c r="H198" s="9">
        <f t="shared" si="1"/>
        <v>3.5550458715596325E-2</v>
      </c>
    </row>
    <row r="199" spans="3:8" x14ac:dyDescent="0.15">
      <c r="C199" s="4" t="s">
        <v>47</v>
      </c>
      <c r="D199" s="5" t="s">
        <v>1</v>
      </c>
      <c r="E199" s="4" t="s">
        <v>46</v>
      </c>
      <c r="F199" s="4">
        <v>4.04</v>
      </c>
      <c r="G199" s="4">
        <v>0.28000000000000003</v>
      </c>
      <c r="H199" s="9">
        <f t="shared" si="1"/>
        <v>6.9306930693069313E-2</v>
      </c>
    </row>
    <row r="200" spans="3:8" x14ac:dyDescent="0.15">
      <c r="C200" s="4" t="s">
        <v>47</v>
      </c>
      <c r="D200" s="5" t="s">
        <v>1</v>
      </c>
      <c r="E200" s="4" t="s">
        <v>46</v>
      </c>
      <c r="F200" s="4">
        <v>3.58</v>
      </c>
      <c r="G200" s="4">
        <v>0.27</v>
      </c>
      <c r="H200" s="9">
        <f t="shared" si="1"/>
        <v>7.5418994413407825E-2</v>
      </c>
    </row>
    <row r="201" spans="3:8" x14ac:dyDescent="0.15">
      <c r="C201" s="4" t="s">
        <v>47</v>
      </c>
      <c r="D201" s="5" t="s">
        <v>1</v>
      </c>
      <c r="E201" s="4" t="s">
        <v>46</v>
      </c>
      <c r="F201" s="4">
        <v>13.89</v>
      </c>
      <c r="G201" s="4">
        <v>0.27</v>
      </c>
      <c r="H201" s="9">
        <f t="shared" si="1"/>
        <v>1.9438444924406047E-2</v>
      </c>
    </row>
    <row r="202" spans="3:8" x14ac:dyDescent="0.15">
      <c r="C202" s="4" t="s">
        <v>47</v>
      </c>
      <c r="D202" s="5" t="s">
        <v>1</v>
      </c>
      <c r="E202" s="4" t="s">
        <v>46</v>
      </c>
      <c r="F202" s="4">
        <v>2.25</v>
      </c>
      <c r="G202" s="4">
        <v>0.24</v>
      </c>
      <c r="H202" s="9">
        <f t="shared" si="1"/>
        <v>0.10666666666666666</v>
      </c>
    </row>
    <row r="203" spans="3:8" x14ac:dyDescent="0.15">
      <c r="C203" s="4" t="s">
        <v>47</v>
      </c>
      <c r="D203" s="5" t="s">
        <v>1</v>
      </c>
      <c r="E203" s="4" t="s">
        <v>46</v>
      </c>
      <c r="F203" s="4">
        <v>4.7300000000000004</v>
      </c>
      <c r="G203" s="4">
        <v>0.24</v>
      </c>
      <c r="H203" s="9">
        <f t="shared" si="1"/>
        <v>5.0739957716701894E-2</v>
      </c>
    </row>
    <row r="204" spans="3:8" x14ac:dyDescent="0.15">
      <c r="C204" s="4" t="s">
        <v>47</v>
      </c>
      <c r="D204" s="5" t="s">
        <v>1</v>
      </c>
      <c r="E204" s="4" t="s">
        <v>46</v>
      </c>
      <c r="F204" s="4">
        <v>1.23</v>
      </c>
      <c r="G204" s="4">
        <v>0.21</v>
      </c>
      <c r="H204" s="9">
        <f t="shared" si="1"/>
        <v>0.17073170731707316</v>
      </c>
    </row>
    <row r="205" spans="3:8" x14ac:dyDescent="0.15">
      <c r="C205" s="4" t="s">
        <v>47</v>
      </c>
      <c r="D205" s="5" t="s">
        <v>1</v>
      </c>
      <c r="E205" s="4" t="s">
        <v>46</v>
      </c>
      <c r="F205" s="4">
        <v>2.5099999999999998</v>
      </c>
      <c r="G205" s="4">
        <v>0.2</v>
      </c>
      <c r="H205" s="9">
        <f t="shared" si="1"/>
        <v>7.9681274900398419E-2</v>
      </c>
    </row>
    <row r="206" spans="3:8" x14ac:dyDescent="0.15">
      <c r="C206" s="4" t="s">
        <v>47</v>
      </c>
      <c r="D206" s="5" t="s">
        <v>1</v>
      </c>
      <c r="E206" s="4" t="s">
        <v>46</v>
      </c>
      <c r="F206" s="4">
        <v>1.8</v>
      </c>
      <c r="G206" s="4">
        <v>0.2</v>
      </c>
      <c r="H206" s="9">
        <f t="shared" si="1"/>
        <v>0.11111111111111112</v>
      </c>
    </row>
    <row r="207" spans="3:8" x14ac:dyDescent="0.15">
      <c r="C207" s="4" t="s">
        <v>47</v>
      </c>
      <c r="D207" s="5" t="s">
        <v>1</v>
      </c>
      <c r="E207" s="4" t="s">
        <v>46</v>
      </c>
      <c r="F207" s="4">
        <v>3.08</v>
      </c>
      <c r="G207" s="4">
        <v>0.18</v>
      </c>
      <c r="H207" s="9">
        <f t="shared" ref="H207:H236" si="2">G207/F207</f>
        <v>5.844155844155844E-2</v>
      </c>
    </row>
    <row r="208" spans="3:8" x14ac:dyDescent="0.15">
      <c r="C208" s="4" t="s">
        <v>47</v>
      </c>
      <c r="D208" s="5" t="s">
        <v>1</v>
      </c>
      <c r="E208" s="4" t="s">
        <v>46</v>
      </c>
      <c r="F208" s="4">
        <v>2.52</v>
      </c>
      <c r="G208" s="4">
        <v>0.17</v>
      </c>
      <c r="H208" s="9">
        <f t="shared" si="2"/>
        <v>6.746031746031747E-2</v>
      </c>
    </row>
    <row r="209" spans="3:8" x14ac:dyDescent="0.15">
      <c r="C209" s="4" t="s">
        <v>47</v>
      </c>
      <c r="D209" s="5" t="s">
        <v>1</v>
      </c>
      <c r="E209" s="4" t="s">
        <v>46</v>
      </c>
      <c r="F209" s="4">
        <v>2.14</v>
      </c>
      <c r="G209" s="4">
        <v>0.16</v>
      </c>
      <c r="H209" s="9">
        <f t="shared" si="2"/>
        <v>7.476635514018691E-2</v>
      </c>
    </row>
    <row r="210" spans="3:8" x14ac:dyDescent="0.15">
      <c r="C210" s="4" t="s">
        <v>47</v>
      </c>
      <c r="D210" s="5" t="s">
        <v>1</v>
      </c>
      <c r="E210" s="4" t="s">
        <v>46</v>
      </c>
      <c r="F210" s="4">
        <v>5.12</v>
      </c>
      <c r="G210" s="4">
        <v>0.14000000000000001</v>
      </c>
      <c r="H210" s="9">
        <f t="shared" si="2"/>
        <v>2.7343750000000003E-2</v>
      </c>
    </row>
    <row r="211" spans="3:8" x14ac:dyDescent="0.15">
      <c r="C211" s="4" t="s">
        <v>47</v>
      </c>
      <c r="D211" s="5" t="s">
        <v>1</v>
      </c>
      <c r="E211" s="4" t="s">
        <v>46</v>
      </c>
      <c r="F211" s="4">
        <v>5.81</v>
      </c>
      <c r="G211" s="4">
        <v>1.6</v>
      </c>
      <c r="H211" s="9">
        <f t="shared" si="2"/>
        <v>0.2753872633390706</v>
      </c>
    </row>
    <row r="212" spans="3:8" x14ac:dyDescent="0.15">
      <c r="C212" s="4" t="s">
        <v>47</v>
      </c>
      <c r="D212" s="5" t="s">
        <v>1</v>
      </c>
      <c r="E212" s="4" t="s">
        <v>46</v>
      </c>
      <c r="F212" s="4">
        <v>4.76</v>
      </c>
      <c r="G212" s="4">
        <v>0.82</v>
      </c>
      <c r="H212" s="9">
        <f t="shared" si="2"/>
        <v>0.17226890756302521</v>
      </c>
    </row>
    <row r="213" spans="3:8" x14ac:dyDescent="0.15">
      <c r="C213" s="4" t="s">
        <v>47</v>
      </c>
      <c r="D213" s="5" t="s">
        <v>1</v>
      </c>
      <c r="E213" s="4" t="s">
        <v>46</v>
      </c>
      <c r="F213" s="4">
        <v>3.4</v>
      </c>
      <c r="G213" s="4">
        <v>0.53</v>
      </c>
      <c r="H213" s="9">
        <f t="shared" si="2"/>
        <v>0.15588235294117647</v>
      </c>
    </row>
    <row r="214" spans="3:8" x14ac:dyDescent="0.15">
      <c r="C214" s="4" t="s">
        <v>47</v>
      </c>
      <c r="D214" s="5" t="s">
        <v>1</v>
      </c>
      <c r="E214" s="4" t="s">
        <v>46</v>
      </c>
      <c r="F214" s="4">
        <v>5.6</v>
      </c>
      <c r="G214" s="4">
        <v>1</v>
      </c>
      <c r="H214" s="9">
        <f t="shared" si="2"/>
        <v>0.17857142857142858</v>
      </c>
    </row>
    <row r="215" spans="3:8" x14ac:dyDescent="0.15">
      <c r="C215" s="4" t="s">
        <v>47</v>
      </c>
      <c r="D215" s="5" t="s">
        <v>1</v>
      </c>
      <c r="E215" s="4" t="s">
        <v>46</v>
      </c>
      <c r="F215" s="4">
        <v>5.56</v>
      </c>
      <c r="G215" s="4">
        <v>0.92</v>
      </c>
      <c r="H215" s="9">
        <f t="shared" si="2"/>
        <v>0.1654676258992806</v>
      </c>
    </row>
    <row r="216" spans="3:8" x14ac:dyDescent="0.15">
      <c r="C216" s="4" t="s">
        <v>47</v>
      </c>
      <c r="D216" s="5" t="s">
        <v>1</v>
      </c>
      <c r="E216" s="4" t="s">
        <v>46</v>
      </c>
      <c r="F216" s="4">
        <v>5.29</v>
      </c>
      <c r="G216" s="4">
        <v>0.78</v>
      </c>
      <c r="H216" s="9">
        <f t="shared" si="2"/>
        <v>0.14744801512287334</v>
      </c>
    </row>
    <row r="217" spans="3:8" x14ac:dyDescent="0.15">
      <c r="C217" s="4" t="s">
        <v>47</v>
      </c>
      <c r="D217" s="5" t="s">
        <v>1</v>
      </c>
      <c r="E217" s="4" t="s">
        <v>46</v>
      </c>
      <c r="F217" s="4">
        <v>7.87</v>
      </c>
      <c r="G217" s="4">
        <v>0.93</v>
      </c>
      <c r="H217" s="9">
        <f t="shared" si="2"/>
        <v>0.1181702668360864</v>
      </c>
    </row>
    <row r="218" spans="3:8" x14ac:dyDescent="0.15">
      <c r="C218" s="4" t="s">
        <v>47</v>
      </c>
      <c r="D218" s="5" t="s">
        <v>1</v>
      </c>
      <c r="E218" s="4" t="s">
        <v>46</v>
      </c>
      <c r="F218" s="4">
        <v>5.42</v>
      </c>
      <c r="G218" s="4">
        <v>1.03</v>
      </c>
      <c r="H218" s="9">
        <f t="shared" si="2"/>
        <v>0.1900369003690037</v>
      </c>
    </row>
    <row r="219" spans="3:8" x14ac:dyDescent="0.15">
      <c r="C219" s="4" t="s">
        <v>47</v>
      </c>
      <c r="D219" s="5" t="s">
        <v>1</v>
      </c>
      <c r="E219" s="4" t="s">
        <v>46</v>
      </c>
      <c r="F219" s="4">
        <v>5.4</v>
      </c>
      <c r="G219" s="4">
        <v>0.71</v>
      </c>
      <c r="H219" s="9">
        <f t="shared" si="2"/>
        <v>0.13148148148148148</v>
      </c>
    </row>
    <row r="220" spans="3:8" x14ac:dyDescent="0.15">
      <c r="C220" s="4" t="s">
        <v>47</v>
      </c>
      <c r="D220" s="5" t="s">
        <v>1</v>
      </c>
      <c r="E220" s="4" t="s">
        <v>46</v>
      </c>
      <c r="F220" s="4">
        <v>2.63</v>
      </c>
      <c r="G220" s="4">
        <v>0.52</v>
      </c>
      <c r="H220" s="9">
        <f t="shared" si="2"/>
        <v>0.19771863117870725</v>
      </c>
    </row>
    <row r="221" spans="3:8" x14ac:dyDescent="0.15">
      <c r="C221" s="4" t="s">
        <v>47</v>
      </c>
      <c r="D221" s="5" t="s">
        <v>1</v>
      </c>
      <c r="E221" s="4" t="s">
        <v>46</v>
      </c>
      <c r="F221" s="4">
        <v>6.28</v>
      </c>
      <c r="G221" s="4">
        <v>0.7</v>
      </c>
      <c r="H221" s="9">
        <f t="shared" si="2"/>
        <v>0.11146496815286623</v>
      </c>
    </row>
    <row r="222" spans="3:8" x14ac:dyDescent="0.15">
      <c r="C222" s="4" t="s">
        <v>47</v>
      </c>
      <c r="D222" s="5" t="s">
        <v>1</v>
      </c>
      <c r="E222" s="4" t="s">
        <v>46</v>
      </c>
      <c r="F222" s="4">
        <v>5.26</v>
      </c>
      <c r="G222" s="4">
        <v>0.6</v>
      </c>
      <c r="H222" s="9">
        <f t="shared" si="2"/>
        <v>0.11406844106463879</v>
      </c>
    </row>
    <row r="223" spans="3:8" x14ac:dyDescent="0.15">
      <c r="C223" s="4" t="s">
        <v>47</v>
      </c>
      <c r="D223" s="5" t="s">
        <v>1</v>
      </c>
      <c r="E223" s="4" t="s">
        <v>46</v>
      </c>
      <c r="F223" s="4">
        <v>3.78</v>
      </c>
      <c r="G223" s="4">
        <v>0.59</v>
      </c>
      <c r="H223" s="9">
        <f t="shared" si="2"/>
        <v>0.15608465608465608</v>
      </c>
    </row>
    <row r="224" spans="3:8" x14ac:dyDescent="0.15">
      <c r="C224" s="4" t="s">
        <v>47</v>
      </c>
      <c r="D224" s="5" t="s">
        <v>1</v>
      </c>
      <c r="E224" s="4" t="s">
        <v>46</v>
      </c>
      <c r="F224" s="4">
        <v>5.81</v>
      </c>
      <c r="G224" s="4">
        <v>0.37</v>
      </c>
      <c r="H224" s="9">
        <f t="shared" si="2"/>
        <v>6.3683304647160072E-2</v>
      </c>
    </row>
    <row r="225" spans="3:8" x14ac:dyDescent="0.15">
      <c r="C225" s="4" t="s">
        <v>47</v>
      </c>
      <c r="D225" s="5" t="s">
        <v>1</v>
      </c>
      <c r="E225" s="4" t="s">
        <v>46</v>
      </c>
      <c r="F225" s="4">
        <v>5.0999999999999996</v>
      </c>
      <c r="G225" s="4">
        <v>0.85</v>
      </c>
      <c r="H225" s="9">
        <f t="shared" si="2"/>
        <v>0.16666666666666669</v>
      </c>
    </row>
    <row r="226" spans="3:8" x14ac:dyDescent="0.15">
      <c r="C226" s="4" t="s">
        <v>47</v>
      </c>
      <c r="D226" s="5" t="s">
        <v>1</v>
      </c>
      <c r="E226" s="4" t="s">
        <v>46</v>
      </c>
      <c r="F226" s="4">
        <v>4.5</v>
      </c>
      <c r="G226" s="4">
        <v>0.61</v>
      </c>
      <c r="H226" s="9">
        <f t="shared" si="2"/>
        <v>0.13555555555555554</v>
      </c>
    </row>
    <row r="227" spans="3:8" x14ac:dyDescent="0.15">
      <c r="C227" s="4" t="s">
        <v>47</v>
      </c>
      <c r="D227" s="5" t="s">
        <v>1</v>
      </c>
      <c r="E227" s="4" t="s">
        <v>46</v>
      </c>
      <c r="F227" s="4">
        <v>9.4600000000000009</v>
      </c>
      <c r="G227" s="4">
        <v>1.03</v>
      </c>
      <c r="H227" s="9">
        <f t="shared" si="2"/>
        <v>0.10887949260042283</v>
      </c>
    </row>
    <row r="228" spans="3:8" x14ac:dyDescent="0.15">
      <c r="C228" s="4" t="s">
        <v>47</v>
      </c>
      <c r="D228" s="5" t="s">
        <v>1</v>
      </c>
      <c r="E228" s="4" t="s">
        <v>46</v>
      </c>
      <c r="F228" s="4">
        <v>4.33</v>
      </c>
      <c r="G228" s="4">
        <v>0.53</v>
      </c>
      <c r="H228" s="9">
        <f t="shared" si="2"/>
        <v>0.12240184757505775</v>
      </c>
    </row>
    <row r="229" spans="3:8" x14ac:dyDescent="0.15">
      <c r="C229" s="4" t="s">
        <v>47</v>
      </c>
      <c r="D229" s="5" t="s">
        <v>1</v>
      </c>
      <c r="E229" s="4" t="s">
        <v>46</v>
      </c>
      <c r="F229" s="4">
        <v>7.51</v>
      </c>
      <c r="G229" s="4">
        <v>0.66</v>
      </c>
      <c r="H229" s="9">
        <f t="shared" si="2"/>
        <v>8.7882822902796282E-2</v>
      </c>
    </row>
    <row r="230" spans="3:8" x14ac:dyDescent="0.15">
      <c r="C230" s="4" t="s">
        <v>47</v>
      </c>
      <c r="D230" s="5" t="s">
        <v>1</v>
      </c>
      <c r="E230" s="4" t="s">
        <v>46</v>
      </c>
      <c r="F230" s="4">
        <v>3.05</v>
      </c>
      <c r="G230" s="4">
        <v>0.66</v>
      </c>
      <c r="H230" s="9">
        <f t="shared" si="2"/>
        <v>0.21639344262295085</v>
      </c>
    </row>
    <row r="231" spans="3:8" x14ac:dyDescent="0.15">
      <c r="C231" s="4" t="s">
        <v>47</v>
      </c>
      <c r="D231" s="5" t="s">
        <v>1</v>
      </c>
      <c r="E231" s="4" t="s">
        <v>46</v>
      </c>
      <c r="F231" s="4">
        <v>4.8899999999999997</v>
      </c>
      <c r="G231" s="4">
        <v>0.5</v>
      </c>
      <c r="H231" s="9">
        <f t="shared" si="2"/>
        <v>0.10224948875255624</v>
      </c>
    </row>
    <row r="232" spans="3:8" x14ac:dyDescent="0.15">
      <c r="C232" s="4" t="s">
        <v>47</v>
      </c>
      <c r="D232" s="5" t="s">
        <v>1</v>
      </c>
      <c r="E232" s="4" t="s">
        <v>46</v>
      </c>
      <c r="F232" s="4">
        <v>3.93</v>
      </c>
      <c r="G232" s="4">
        <v>0.85</v>
      </c>
      <c r="H232" s="9">
        <f t="shared" si="2"/>
        <v>0.21628498727735368</v>
      </c>
    </row>
    <row r="233" spans="3:8" x14ac:dyDescent="0.15">
      <c r="C233" s="4" t="s">
        <v>47</v>
      </c>
      <c r="D233" s="5" t="s">
        <v>1</v>
      </c>
      <c r="E233" s="4" t="s">
        <v>46</v>
      </c>
      <c r="F233" s="4">
        <v>5.14</v>
      </c>
      <c r="G233" s="4">
        <v>0.79</v>
      </c>
      <c r="H233" s="9">
        <f t="shared" si="2"/>
        <v>0.15369649805447472</v>
      </c>
    </row>
    <row r="234" spans="3:8" x14ac:dyDescent="0.15">
      <c r="C234" s="4" t="s">
        <v>47</v>
      </c>
      <c r="D234" s="5" t="s">
        <v>1</v>
      </c>
      <c r="E234" s="4" t="s">
        <v>46</v>
      </c>
      <c r="F234" s="4">
        <v>4.8099999999999996</v>
      </c>
      <c r="G234" s="4">
        <v>0.47</v>
      </c>
      <c r="H234" s="9">
        <f t="shared" si="2"/>
        <v>9.7713097713097719E-2</v>
      </c>
    </row>
    <row r="235" spans="3:8" x14ac:dyDescent="0.15">
      <c r="C235" s="4" t="s">
        <v>47</v>
      </c>
      <c r="D235" s="5" t="s">
        <v>1</v>
      </c>
      <c r="E235" s="4" t="s">
        <v>46</v>
      </c>
      <c r="F235" s="4">
        <v>3.42</v>
      </c>
      <c r="G235" s="4">
        <v>0.59</v>
      </c>
      <c r="H235" s="9">
        <f t="shared" si="2"/>
        <v>0.17251461988304093</v>
      </c>
    </row>
    <row r="236" spans="3:8" x14ac:dyDescent="0.15">
      <c r="C236" s="4" t="s">
        <v>47</v>
      </c>
      <c r="D236" s="5" t="s">
        <v>1</v>
      </c>
      <c r="E236" s="4" t="s">
        <v>46</v>
      </c>
      <c r="F236" s="4">
        <v>7.44</v>
      </c>
      <c r="G236" s="4">
        <v>0.93</v>
      </c>
      <c r="H236" s="9">
        <f t="shared" si="2"/>
        <v>0.125</v>
      </c>
    </row>
    <row r="243" spans="3:9" x14ac:dyDescent="0.15">
      <c r="C243" s="12" t="s">
        <v>114</v>
      </c>
      <c r="D243" s="18" t="s">
        <v>115</v>
      </c>
      <c r="E243" s="12" t="s">
        <v>116</v>
      </c>
      <c r="F243" s="12" t="s">
        <v>54</v>
      </c>
      <c r="G243" s="12" t="s">
        <v>54</v>
      </c>
      <c r="H243" s="9" t="s">
        <v>44</v>
      </c>
      <c r="I243" s="9" t="s">
        <v>44</v>
      </c>
    </row>
    <row r="244" spans="3:9" x14ac:dyDescent="0.15">
      <c r="C244" s="4" t="s">
        <v>58</v>
      </c>
      <c r="D244" s="5" t="s">
        <v>57</v>
      </c>
      <c r="E244" s="5" t="s">
        <v>24</v>
      </c>
      <c r="F244" s="4">
        <v>37.5</v>
      </c>
      <c r="G244" s="4">
        <v>41.9</v>
      </c>
      <c r="H244" s="9">
        <v>11.9</v>
      </c>
      <c r="I244" s="9">
        <v>11.1</v>
      </c>
    </row>
    <row r="245" spans="3:9" x14ac:dyDescent="0.15">
      <c r="C245" s="4" t="s">
        <v>58</v>
      </c>
      <c r="D245" s="5" t="s">
        <v>57</v>
      </c>
      <c r="E245" s="5" t="s">
        <v>51</v>
      </c>
      <c r="F245" s="4">
        <v>2.02</v>
      </c>
      <c r="G245" s="4">
        <v>5.66</v>
      </c>
      <c r="H245" s="9">
        <v>4.51</v>
      </c>
      <c r="I245" s="9">
        <v>1.86</v>
      </c>
    </row>
    <row r="246" spans="3:9" x14ac:dyDescent="0.15">
      <c r="C246" s="4" t="s">
        <v>58</v>
      </c>
      <c r="D246" s="5" t="s">
        <v>57</v>
      </c>
      <c r="E246" s="5" t="s">
        <v>53</v>
      </c>
      <c r="F246" s="4">
        <v>11.1</v>
      </c>
      <c r="G246" s="4">
        <v>4.96</v>
      </c>
      <c r="H246" s="9">
        <v>2.6</v>
      </c>
      <c r="I246" s="9">
        <v>1.9</v>
      </c>
    </row>
    <row r="247" spans="3:9" x14ac:dyDescent="0.15">
      <c r="C247" s="4" t="s">
        <v>58</v>
      </c>
      <c r="D247" s="5" t="s">
        <v>57</v>
      </c>
      <c r="E247" s="5" t="s">
        <v>52</v>
      </c>
      <c r="F247" s="4">
        <v>2.33</v>
      </c>
      <c r="G247" s="4">
        <v>3.33</v>
      </c>
      <c r="H247" s="9">
        <v>1.04</v>
      </c>
      <c r="I247" s="9">
        <v>1.28</v>
      </c>
    </row>
    <row r="248" spans="3:9" x14ac:dyDescent="0.15">
      <c r="C248" s="4" t="s">
        <v>58</v>
      </c>
      <c r="D248" s="5" t="s">
        <v>57</v>
      </c>
      <c r="E248" s="5" t="s">
        <v>25</v>
      </c>
      <c r="F248" s="4">
        <v>1.23</v>
      </c>
      <c r="G248" s="4">
        <v>2.66</v>
      </c>
      <c r="H248" s="9">
        <v>0.44</v>
      </c>
      <c r="I248" s="9">
        <v>0.46100000000000002</v>
      </c>
    </row>
    <row r="249" spans="3:9" x14ac:dyDescent="0.15">
      <c r="C249" s="4" t="s">
        <v>58</v>
      </c>
      <c r="D249" s="5" t="s">
        <v>57</v>
      </c>
      <c r="E249" s="5" t="s">
        <v>10</v>
      </c>
      <c r="F249" s="4">
        <v>1.47</v>
      </c>
      <c r="G249" s="4">
        <v>1.65</v>
      </c>
      <c r="H249" s="9">
        <v>5.5E-2</v>
      </c>
      <c r="I249" s="9">
        <v>9.7000000000000003E-2</v>
      </c>
    </row>
    <row r="250" spans="3:9" x14ac:dyDescent="0.15">
      <c r="C250" s="4" t="s">
        <v>58</v>
      </c>
      <c r="D250" s="5"/>
      <c r="E250" s="4"/>
      <c r="F250" s="4" t="s">
        <v>55</v>
      </c>
      <c r="G250" s="4" t="s">
        <v>55</v>
      </c>
    </row>
    <row r="251" spans="3:9" x14ac:dyDescent="0.15">
      <c r="C251" s="4" t="s">
        <v>58</v>
      </c>
      <c r="D251" s="5" t="s">
        <v>57</v>
      </c>
      <c r="E251" s="5" t="s">
        <v>24</v>
      </c>
      <c r="F251" s="4">
        <v>466</v>
      </c>
      <c r="G251" s="4">
        <v>463</v>
      </c>
    </row>
    <row r="252" spans="3:9" x14ac:dyDescent="0.15">
      <c r="C252" s="4" t="s">
        <v>58</v>
      </c>
      <c r="D252" s="5" t="s">
        <v>57</v>
      </c>
      <c r="E252" s="5" t="s">
        <v>51</v>
      </c>
      <c r="F252" s="4">
        <v>9.1300000000000008</v>
      </c>
      <c r="G252" s="4">
        <v>10.5</v>
      </c>
    </row>
    <row r="253" spans="3:9" x14ac:dyDescent="0.15">
      <c r="C253" s="4" t="s">
        <v>58</v>
      </c>
      <c r="D253" s="5" t="s">
        <v>57</v>
      </c>
      <c r="E253" s="5" t="s">
        <v>53</v>
      </c>
      <c r="F253" s="4">
        <v>28.8</v>
      </c>
      <c r="G253" s="4">
        <v>9.41</v>
      </c>
    </row>
    <row r="254" spans="3:9" x14ac:dyDescent="0.15">
      <c r="C254" s="4" t="s">
        <v>58</v>
      </c>
      <c r="D254" s="5" t="s">
        <v>57</v>
      </c>
      <c r="E254" s="5" t="s">
        <v>52</v>
      </c>
      <c r="F254" s="4">
        <v>2.42</v>
      </c>
      <c r="G254" s="4">
        <v>4.26</v>
      </c>
    </row>
    <row r="255" spans="3:9" x14ac:dyDescent="0.15">
      <c r="C255" s="4" t="s">
        <v>58</v>
      </c>
      <c r="D255" s="5" t="s">
        <v>57</v>
      </c>
      <c r="E255" s="5" t="s">
        <v>25</v>
      </c>
      <c r="F255" s="4">
        <v>0.54</v>
      </c>
      <c r="G255" s="4">
        <v>1.23</v>
      </c>
    </row>
    <row r="256" spans="3:9" x14ac:dyDescent="0.15">
      <c r="C256" s="4" t="s">
        <v>58</v>
      </c>
      <c r="D256" s="5" t="s">
        <v>57</v>
      </c>
      <c r="E256" s="5" t="s">
        <v>10</v>
      </c>
      <c r="F256" s="4">
        <v>8.1000000000000003E-2</v>
      </c>
      <c r="G256" s="4">
        <v>0.16</v>
      </c>
    </row>
    <row r="257" spans="3:11" x14ac:dyDescent="0.15">
      <c r="C257" s="4"/>
      <c r="D257" s="5"/>
      <c r="E257" s="4"/>
      <c r="F257" s="4"/>
      <c r="G257" s="4"/>
    </row>
    <row r="258" spans="3:11" x14ac:dyDescent="0.15">
      <c r="C258" s="4"/>
      <c r="D258" s="5"/>
      <c r="E258" s="4"/>
      <c r="F258" s="4"/>
      <c r="G258" s="4"/>
    </row>
    <row r="259" spans="3:11" x14ac:dyDescent="0.15">
      <c r="C259" s="4"/>
      <c r="D259" s="5"/>
      <c r="E259" s="4"/>
      <c r="F259" s="4" t="s">
        <v>54</v>
      </c>
      <c r="G259" s="4" t="s">
        <v>54</v>
      </c>
      <c r="H259" s="4" t="s">
        <v>55</v>
      </c>
      <c r="I259" s="4" t="s">
        <v>55</v>
      </c>
      <c r="J259" s="9" t="s">
        <v>112</v>
      </c>
      <c r="K259" s="9" t="s">
        <v>112</v>
      </c>
    </row>
    <row r="260" spans="3:11" x14ac:dyDescent="0.15">
      <c r="C260" s="4" t="s">
        <v>61</v>
      </c>
      <c r="D260" s="5" t="s">
        <v>57</v>
      </c>
      <c r="E260" s="4" t="s">
        <v>59</v>
      </c>
      <c r="F260" s="4">
        <v>0.03</v>
      </c>
      <c r="G260" s="4">
        <v>2.1000000000000001E-2</v>
      </c>
      <c r="H260" s="4">
        <v>8.0000000000000002E-3</v>
      </c>
      <c r="I260" s="4">
        <v>3.0000000000000001E-3</v>
      </c>
      <c r="J260" s="9">
        <f>H260/F260</f>
        <v>0.26666666666666666</v>
      </c>
      <c r="K260" s="9">
        <f>I260/G260</f>
        <v>0.14285714285714285</v>
      </c>
    </row>
    <row r="261" spans="3:11" x14ac:dyDescent="0.15">
      <c r="C261" s="4" t="s">
        <v>61</v>
      </c>
      <c r="D261" s="5" t="s">
        <v>57</v>
      </c>
      <c r="E261" s="4" t="s">
        <v>10</v>
      </c>
      <c r="F261" s="4">
        <v>7.2999999999999995E-2</v>
      </c>
      <c r="G261" s="4">
        <v>5.7000000000000002E-2</v>
      </c>
      <c r="H261" s="4">
        <v>5.0000000000000001E-3</v>
      </c>
      <c r="I261" s="4">
        <v>2E-3</v>
      </c>
      <c r="J261" s="9">
        <f>H261/F261</f>
        <v>6.8493150684931517E-2</v>
      </c>
      <c r="K261" s="9">
        <f>I261/G261</f>
        <v>3.5087719298245612E-2</v>
      </c>
    </row>
    <row r="262" spans="3:11" x14ac:dyDescent="0.15">
      <c r="C262" s="4" t="s">
        <v>61</v>
      </c>
      <c r="D262" s="5" t="s">
        <v>57</v>
      </c>
      <c r="E262" s="4"/>
      <c r="F262" s="4"/>
      <c r="G262" s="4"/>
      <c r="J262" s="9"/>
      <c r="K262" s="9"/>
    </row>
    <row r="263" spans="3:11" x14ac:dyDescent="0.15">
      <c r="C263" s="4" t="s">
        <v>61</v>
      </c>
      <c r="D263" s="5" t="s">
        <v>57</v>
      </c>
      <c r="E263" s="4"/>
      <c r="F263" s="4"/>
      <c r="J263" s="9"/>
      <c r="K263" s="9"/>
    </row>
    <row r="264" spans="3:11" x14ac:dyDescent="0.15">
      <c r="C264" s="4" t="s">
        <v>61</v>
      </c>
      <c r="D264" s="5" t="s">
        <v>57</v>
      </c>
      <c r="E264" s="4" t="s">
        <v>59</v>
      </c>
      <c r="F264" s="4"/>
      <c r="J264" s="9"/>
      <c r="K264" s="9"/>
    </row>
    <row r="265" spans="3:11" x14ac:dyDescent="0.15">
      <c r="C265" s="4" t="s">
        <v>61</v>
      </c>
      <c r="D265" s="5" t="s">
        <v>57</v>
      </c>
      <c r="E265" s="4" t="s">
        <v>10</v>
      </c>
      <c r="F265" s="4"/>
      <c r="J265" s="9"/>
      <c r="K265" s="9"/>
    </row>
    <row r="266" spans="3:11" x14ac:dyDescent="0.15">
      <c r="C266" s="4" t="s">
        <v>61</v>
      </c>
      <c r="D266" s="5"/>
      <c r="E266" s="4"/>
      <c r="F266" s="4"/>
      <c r="G266" s="4"/>
      <c r="J266" s="9"/>
      <c r="K266" s="9"/>
    </row>
    <row r="267" spans="3:11" x14ac:dyDescent="0.15">
      <c r="C267" s="4" t="s">
        <v>61</v>
      </c>
      <c r="D267" s="5"/>
      <c r="E267" s="4"/>
      <c r="F267" s="4"/>
      <c r="G267" s="4"/>
      <c r="J267" s="9"/>
      <c r="K267" s="9"/>
    </row>
    <row r="268" spans="3:11" x14ac:dyDescent="0.15">
      <c r="C268" s="4" t="s">
        <v>61</v>
      </c>
      <c r="D268" s="5"/>
      <c r="E268" s="4"/>
      <c r="F268" s="4" t="s">
        <v>54</v>
      </c>
      <c r="G268" s="4" t="s">
        <v>54</v>
      </c>
      <c r="H268" s="4" t="s">
        <v>55</v>
      </c>
      <c r="I268" s="4" t="s">
        <v>55</v>
      </c>
      <c r="J268" s="9" t="s">
        <v>112</v>
      </c>
      <c r="K268" s="9" t="s">
        <v>112</v>
      </c>
    </row>
    <row r="269" spans="3:11" x14ac:dyDescent="0.15">
      <c r="C269" s="4" t="s">
        <v>61</v>
      </c>
      <c r="D269" s="5" t="s">
        <v>60</v>
      </c>
      <c r="E269" s="4" t="s">
        <v>59</v>
      </c>
      <c r="F269" s="4">
        <v>0.09</v>
      </c>
      <c r="G269" s="4">
        <v>6.8000000000000005E-2</v>
      </c>
      <c r="H269" s="4">
        <v>5.1999999999999998E-2</v>
      </c>
      <c r="I269" s="4">
        <v>4.2000000000000003E-2</v>
      </c>
      <c r="J269" s="9">
        <f t="shared" ref="J269:J270" si="3">H269/F269</f>
        <v>0.57777777777777772</v>
      </c>
      <c r="K269" s="9">
        <f t="shared" ref="K269:K270" si="4">I269/G269</f>
        <v>0.61764705882352944</v>
      </c>
    </row>
    <row r="270" spans="3:11" x14ac:dyDescent="0.15">
      <c r="C270" s="4" t="s">
        <v>61</v>
      </c>
      <c r="D270" s="5" t="s">
        <v>60</v>
      </c>
      <c r="E270" s="4" t="s">
        <v>10</v>
      </c>
      <c r="F270" s="4">
        <v>9.0999999999999998E-2</v>
      </c>
      <c r="G270" s="4">
        <v>6.9000000000000006E-2</v>
      </c>
      <c r="H270" s="4">
        <v>1.0999999999999999E-2</v>
      </c>
      <c r="I270" s="4">
        <v>0.01</v>
      </c>
      <c r="J270" s="9">
        <f t="shared" si="3"/>
        <v>0.12087912087912088</v>
      </c>
      <c r="K270" s="9">
        <f t="shared" si="4"/>
        <v>0.14492753623188404</v>
      </c>
    </row>
    <row r="271" spans="3:11" x14ac:dyDescent="0.15">
      <c r="C271" s="4" t="s">
        <v>61</v>
      </c>
      <c r="D271" s="5" t="s">
        <v>60</v>
      </c>
      <c r="E271" s="4"/>
      <c r="F271" s="4"/>
      <c r="G271" s="4"/>
    </row>
    <row r="272" spans="3:11" x14ac:dyDescent="0.15">
      <c r="C272" s="4" t="s">
        <v>61</v>
      </c>
      <c r="D272" s="5" t="s">
        <v>60</v>
      </c>
      <c r="E272" s="4"/>
    </row>
    <row r="273" spans="3:11" x14ac:dyDescent="0.15">
      <c r="C273" s="4" t="s">
        <v>61</v>
      </c>
      <c r="D273" s="5" t="s">
        <v>60</v>
      </c>
      <c r="E273" s="4" t="s">
        <v>59</v>
      </c>
    </row>
    <row r="274" spans="3:11" x14ac:dyDescent="0.15">
      <c r="C274" s="4" t="s">
        <v>61</v>
      </c>
      <c r="D274" s="5" t="s">
        <v>60</v>
      </c>
      <c r="E274" s="4" t="s">
        <v>10</v>
      </c>
    </row>
    <row r="278" spans="3:11" x14ac:dyDescent="0.15">
      <c r="C278" s="12" t="s">
        <v>114</v>
      </c>
      <c r="D278" s="18" t="s">
        <v>115</v>
      </c>
      <c r="E278" s="12" t="s">
        <v>116</v>
      </c>
      <c r="F278" s="12" t="s">
        <v>63</v>
      </c>
      <c r="G278" s="12" t="s">
        <v>63</v>
      </c>
      <c r="H278" s="12" t="s">
        <v>63</v>
      </c>
      <c r="I278" s="12" t="s">
        <v>63</v>
      </c>
      <c r="J278" s="12" t="s">
        <v>63</v>
      </c>
      <c r="K278" s="12" t="s">
        <v>63</v>
      </c>
    </row>
    <row r="279" spans="3:11" x14ac:dyDescent="0.15">
      <c r="C279" s="14" t="s">
        <v>72</v>
      </c>
      <c r="D279" s="15" t="s">
        <v>56</v>
      </c>
      <c r="E279" s="14" t="s">
        <v>62</v>
      </c>
      <c r="F279" s="17">
        <v>1.9219999999999999</v>
      </c>
      <c r="G279" s="17">
        <v>2.1190000000000002</v>
      </c>
      <c r="H279" s="17">
        <v>1.5740000000000001</v>
      </c>
      <c r="I279" s="17">
        <v>1.7030000000000001</v>
      </c>
      <c r="J279" s="17">
        <v>0.98799999999999999</v>
      </c>
      <c r="K279" s="17">
        <v>1.165</v>
      </c>
    </row>
    <row r="280" spans="3:11" x14ac:dyDescent="0.15">
      <c r="C280" s="14" t="s">
        <v>72</v>
      </c>
      <c r="D280" s="15" t="s">
        <v>56</v>
      </c>
      <c r="E280" s="14" t="s">
        <v>64</v>
      </c>
      <c r="F280" s="17">
        <v>0.64800000000000002</v>
      </c>
      <c r="G280" s="17">
        <v>0.77400000000000002</v>
      </c>
      <c r="H280" s="17">
        <v>0.59899999999999998</v>
      </c>
      <c r="I280" s="17">
        <v>0.68799999999999994</v>
      </c>
      <c r="J280" s="17">
        <v>0.56499999999999995</v>
      </c>
      <c r="K280" s="17">
        <v>0.629</v>
      </c>
    </row>
    <row r="281" spans="3:11" x14ac:dyDescent="0.15">
      <c r="C281" s="14" t="s">
        <v>72</v>
      </c>
      <c r="D281" s="15" t="s">
        <v>56</v>
      </c>
      <c r="E281" s="14" t="s">
        <v>71</v>
      </c>
      <c r="F281" s="17">
        <v>0.16900000000000001</v>
      </c>
      <c r="G281" s="17">
        <v>0.24099999999999999</v>
      </c>
      <c r="H281" s="17">
        <v>0.127</v>
      </c>
      <c r="I281" s="17">
        <v>0.218</v>
      </c>
      <c r="J281" s="17">
        <v>0.105</v>
      </c>
      <c r="K281" s="17">
        <v>0.2</v>
      </c>
    </row>
    <row r="282" spans="3:11" x14ac:dyDescent="0.15">
      <c r="C282" s="14" t="s">
        <v>72</v>
      </c>
      <c r="D282" s="15" t="s">
        <v>56</v>
      </c>
      <c r="E282" s="14" t="s">
        <v>65</v>
      </c>
      <c r="F282" s="17">
        <v>0.113</v>
      </c>
      <c r="G282" s="17">
        <v>0.16500000000000001</v>
      </c>
      <c r="H282" s="17">
        <v>8.5999999999999993E-2</v>
      </c>
      <c r="I282" s="17">
        <v>0.113</v>
      </c>
      <c r="J282" s="17">
        <v>6.9000000000000006E-2</v>
      </c>
      <c r="K282" s="17">
        <v>0.108</v>
      </c>
    </row>
    <row r="283" spans="3:11" x14ac:dyDescent="0.15">
      <c r="C283" s="14" t="s">
        <v>72</v>
      </c>
      <c r="D283" s="15" t="s">
        <v>56</v>
      </c>
      <c r="E283" s="14" t="s">
        <v>66</v>
      </c>
      <c r="F283" s="17">
        <v>8.5999999999999993E-2</v>
      </c>
      <c r="G283" s="17">
        <v>7.4999999999999997E-2</v>
      </c>
      <c r="H283" s="17">
        <v>8.2000000000000003E-2</v>
      </c>
      <c r="I283" s="17">
        <v>0.06</v>
      </c>
      <c r="J283" s="17">
        <v>6.5000000000000002E-2</v>
      </c>
      <c r="K283" s="17">
        <v>5.1999999999999998E-2</v>
      </c>
    </row>
    <row r="284" spans="3:11" x14ac:dyDescent="0.15">
      <c r="C284" s="14" t="s">
        <v>72</v>
      </c>
      <c r="D284" s="15" t="s">
        <v>56</v>
      </c>
      <c r="E284" s="14" t="s">
        <v>67</v>
      </c>
      <c r="F284" s="17">
        <v>7.5999999999999998E-2</v>
      </c>
      <c r="G284" s="17">
        <v>5.5E-2</v>
      </c>
      <c r="H284" s="17">
        <v>7.0000000000000007E-2</v>
      </c>
      <c r="I284" s="17">
        <v>5.3999999999999999E-2</v>
      </c>
      <c r="J284" s="17">
        <v>6.3E-2</v>
      </c>
      <c r="K284" s="17">
        <v>4.5999999999999999E-2</v>
      </c>
    </row>
    <row r="285" spans="3:11" x14ac:dyDescent="0.15">
      <c r="C285" s="14" t="s">
        <v>72</v>
      </c>
      <c r="D285" s="15" t="s">
        <v>56</v>
      </c>
      <c r="E285" s="14" t="s">
        <v>68</v>
      </c>
      <c r="F285" s="17">
        <v>6.6000000000000003E-2</v>
      </c>
      <c r="G285" s="17">
        <v>4.5999999999999999E-2</v>
      </c>
      <c r="H285" s="17">
        <v>6.0999999999999999E-2</v>
      </c>
      <c r="I285" s="17">
        <v>4.3999999999999997E-2</v>
      </c>
      <c r="J285" s="17">
        <v>5.8000000000000003E-2</v>
      </c>
      <c r="K285" s="17">
        <v>0.04</v>
      </c>
    </row>
    <row r="286" spans="3:11" x14ac:dyDescent="0.15">
      <c r="C286" s="14" t="s">
        <v>72</v>
      </c>
      <c r="D286" s="15" t="s">
        <v>56</v>
      </c>
      <c r="E286" s="14" t="s">
        <v>69</v>
      </c>
      <c r="F286" s="17">
        <v>4.2000000000000003E-2</v>
      </c>
      <c r="G286" s="17">
        <v>0.03</v>
      </c>
      <c r="H286" s="17">
        <v>0.04</v>
      </c>
      <c r="I286" s="17">
        <v>2.8000000000000001E-2</v>
      </c>
      <c r="J286" s="17">
        <v>3.5999999999999997E-2</v>
      </c>
      <c r="K286" s="17">
        <v>2.5999999999999999E-2</v>
      </c>
    </row>
    <row r="287" spans="3:11" x14ac:dyDescent="0.15">
      <c r="C287" s="14" t="s">
        <v>72</v>
      </c>
      <c r="D287" s="15" t="s">
        <v>56</v>
      </c>
      <c r="E287" s="14" t="s">
        <v>70</v>
      </c>
      <c r="F287" s="17">
        <v>1.583</v>
      </c>
      <c r="G287" s="17">
        <v>1.288</v>
      </c>
      <c r="H287" s="17">
        <v>1.4059999999999999</v>
      </c>
      <c r="I287" s="17">
        <v>1.1839999999999999</v>
      </c>
      <c r="J287" s="17">
        <v>1.05</v>
      </c>
      <c r="K287" s="17">
        <v>0.89900000000000002</v>
      </c>
    </row>
    <row r="288" spans="3:11" x14ac:dyDescent="0.15">
      <c r="C288" s="14" t="s">
        <v>72</v>
      </c>
      <c r="D288" s="15" t="s">
        <v>56</v>
      </c>
      <c r="E288" s="14" t="s">
        <v>52</v>
      </c>
      <c r="F288" s="17">
        <v>0.17299999999999999</v>
      </c>
      <c r="G288" s="17">
        <v>0.14099999999999999</v>
      </c>
      <c r="H288" s="17">
        <v>0.16600000000000001</v>
      </c>
      <c r="I288" s="17">
        <v>0.122</v>
      </c>
      <c r="J288" s="17">
        <v>0.14799999999999999</v>
      </c>
      <c r="K288" s="17">
        <v>0.11899999999999999</v>
      </c>
    </row>
    <row r="289" spans="3:11" x14ac:dyDescent="0.15">
      <c r="C289" s="14" t="s">
        <v>72</v>
      </c>
      <c r="D289" s="15" t="s">
        <v>56</v>
      </c>
      <c r="E289" s="14" t="s">
        <v>10</v>
      </c>
      <c r="F289" s="17">
        <v>0.152</v>
      </c>
      <c r="G289" s="17">
        <v>0.10100000000000001</v>
      </c>
      <c r="H289" s="17">
        <v>0.129</v>
      </c>
      <c r="I289" s="17">
        <v>7.8E-2</v>
      </c>
      <c r="J289" s="17">
        <v>0.10299999999999999</v>
      </c>
      <c r="K289" s="17">
        <v>7.0999999999999994E-2</v>
      </c>
    </row>
    <row r="291" spans="3:11" x14ac:dyDescent="0.15">
      <c r="F291" s="19" t="s">
        <v>44</v>
      </c>
      <c r="G291" s="19" t="s">
        <v>44</v>
      </c>
      <c r="H291" s="19" t="s">
        <v>44</v>
      </c>
      <c r="I291" s="19" t="s">
        <v>44</v>
      </c>
      <c r="J291" s="19" t="s">
        <v>44</v>
      </c>
      <c r="K291" s="19" t="s">
        <v>44</v>
      </c>
    </row>
    <row r="292" spans="3:11" x14ac:dyDescent="0.15">
      <c r="C292" s="4" t="s">
        <v>72</v>
      </c>
      <c r="D292" s="5" t="s">
        <v>56</v>
      </c>
      <c r="E292" s="4" t="s">
        <v>62</v>
      </c>
      <c r="F292" s="9">
        <v>0.57999999999999996</v>
      </c>
      <c r="G292" s="9">
        <v>0.50900000000000001</v>
      </c>
      <c r="H292" s="9">
        <v>0.47899999999999998</v>
      </c>
      <c r="I292" s="9">
        <v>0.39300000000000002</v>
      </c>
      <c r="J292" s="9">
        <v>0.57699999999999996</v>
      </c>
      <c r="K292" s="9">
        <v>0.39300000000000002</v>
      </c>
    </row>
    <row r="293" spans="3:11" x14ac:dyDescent="0.15">
      <c r="C293" s="4" t="s">
        <v>72</v>
      </c>
      <c r="D293" s="5" t="s">
        <v>56</v>
      </c>
      <c r="E293" s="4" t="s">
        <v>64</v>
      </c>
      <c r="F293" s="9">
        <v>1.6</v>
      </c>
      <c r="G293" s="9">
        <v>0.60399999999999998</v>
      </c>
      <c r="H293" s="9">
        <v>1.7</v>
      </c>
      <c r="I293" s="9">
        <v>0.74099999999999999</v>
      </c>
      <c r="J293" s="9">
        <v>1.91</v>
      </c>
      <c r="K293" s="9">
        <v>0.98</v>
      </c>
    </row>
    <row r="294" spans="3:11" x14ac:dyDescent="0.15">
      <c r="C294" s="4" t="s">
        <v>72</v>
      </c>
      <c r="D294" s="5" t="s">
        <v>56</v>
      </c>
      <c r="E294" s="4" t="s">
        <v>71</v>
      </c>
      <c r="F294" s="9">
        <v>0.38700000000000001</v>
      </c>
      <c r="G294" s="9">
        <v>0.34100000000000003</v>
      </c>
      <c r="H294" s="9">
        <v>0.436</v>
      </c>
      <c r="I294" s="9">
        <v>0.39600000000000002</v>
      </c>
      <c r="J294" s="9">
        <v>0.433</v>
      </c>
      <c r="K294" s="9">
        <v>0.40400000000000003</v>
      </c>
    </row>
    <row r="295" spans="3:11" x14ac:dyDescent="0.15">
      <c r="C295" s="4" t="s">
        <v>72</v>
      </c>
      <c r="D295" s="5" t="s">
        <v>56</v>
      </c>
      <c r="E295" s="4" t="s">
        <v>65</v>
      </c>
      <c r="F295" s="9">
        <v>7.8E-2</v>
      </c>
      <c r="G295" s="9">
        <v>0.122</v>
      </c>
      <c r="H295" s="9">
        <v>9.1999999999999998E-2</v>
      </c>
      <c r="I295" s="9">
        <v>0.11899999999999999</v>
      </c>
      <c r="J295" s="9">
        <v>0.08</v>
      </c>
      <c r="K295" s="9">
        <v>9.2999999999999999E-2</v>
      </c>
    </row>
    <row r="296" spans="3:11" x14ac:dyDescent="0.15">
      <c r="C296" s="4" t="s">
        <v>72</v>
      </c>
      <c r="D296" s="5" t="s">
        <v>56</v>
      </c>
      <c r="E296" s="4" t="s">
        <v>66</v>
      </c>
      <c r="F296" s="9">
        <v>8.4000000000000005E-2</v>
      </c>
      <c r="G296" s="9">
        <v>0.223</v>
      </c>
      <c r="H296" s="9">
        <v>6.6000000000000003E-2</v>
      </c>
      <c r="I296" s="9">
        <v>0.11700000000000001</v>
      </c>
      <c r="J296" s="9">
        <v>5.2999999999999999E-2</v>
      </c>
      <c r="K296" s="9">
        <v>9.0999999999999998E-2</v>
      </c>
    </row>
    <row r="297" spans="3:11" x14ac:dyDescent="0.15">
      <c r="C297" s="4" t="s">
        <v>72</v>
      </c>
      <c r="D297" s="5" t="s">
        <v>56</v>
      </c>
      <c r="E297" s="4" t="s">
        <v>67</v>
      </c>
      <c r="F297" s="9">
        <v>6.8000000000000005E-2</v>
      </c>
      <c r="G297" s="9">
        <v>0.126</v>
      </c>
      <c r="H297" s="9">
        <v>4.7E-2</v>
      </c>
      <c r="I297" s="9">
        <v>0.115</v>
      </c>
      <c r="J297" s="9">
        <v>3.3000000000000002E-2</v>
      </c>
      <c r="K297" s="9">
        <v>7.0000000000000007E-2</v>
      </c>
    </row>
    <row r="298" spans="3:11" x14ac:dyDescent="0.15">
      <c r="C298" s="4" t="s">
        <v>72</v>
      </c>
      <c r="D298" s="5" t="s">
        <v>56</v>
      </c>
      <c r="E298" s="4" t="s">
        <v>68</v>
      </c>
      <c r="F298" s="9">
        <v>7.1999999999999995E-2</v>
      </c>
      <c r="G298" s="9">
        <v>0.151</v>
      </c>
      <c r="H298" s="9">
        <v>4.5999999999999999E-2</v>
      </c>
      <c r="I298" s="9">
        <v>0.12</v>
      </c>
      <c r="J298" s="9">
        <v>3.5999999999999997E-2</v>
      </c>
      <c r="K298" s="9">
        <v>7.1999999999999995E-2</v>
      </c>
    </row>
    <row r="299" spans="3:11" x14ac:dyDescent="0.15">
      <c r="C299" s="4" t="s">
        <v>72</v>
      </c>
      <c r="D299" s="5" t="s">
        <v>56</v>
      </c>
      <c r="E299" s="4" t="s">
        <v>69</v>
      </c>
      <c r="F299" s="9">
        <v>0.11</v>
      </c>
      <c r="G299" s="9">
        <v>0.159</v>
      </c>
      <c r="H299" s="9">
        <v>6.5000000000000002E-2</v>
      </c>
      <c r="I299" s="9">
        <v>0.17599999999999999</v>
      </c>
      <c r="J299" s="9">
        <v>5.7000000000000002E-2</v>
      </c>
      <c r="K299" s="9">
        <v>0.112</v>
      </c>
    </row>
    <row r="300" spans="3:11" x14ac:dyDescent="0.15">
      <c r="C300" s="4" t="s">
        <v>72</v>
      </c>
      <c r="D300" s="5" t="s">
        <v>56</v>
      </c>
      <c r="E300" s="4" t="s">
        <v>70</v>
      </c>
      <c r="F300" s="9">
        <v>0.128</v>
      </c>
      <c r="G300" s="9">
        <v>0.13900000000000001</v>
      </c>
      <c r="H300" s="9">
        <v>0.16300000000000001</v>
      </c>
      <c r="I300" s="9">
        <v>0.13600000000000001</v>
      </c>
      <c r="J300" s="9">
        <v>0.13500000000000001</v>
      </c>
      <c r="K300" s="9">
        <v>0.14000000000000001</v>
      </c>
    </row>
    <row r="301" spans="3:11" x14ac:dyDescent="0.15">
      <c r="C301" s="4" t="s">
        <v>72</v>
      </c>
      <c r="D301" s="5" t="s">
        <v>56</v>
      </c>
      <c r="E301" s="4" t="s">
        <v>52</v>
      </c>
      <c r="F301" s="9">
        <v>0.29699999999999999</v>
      </c>
      <c r="G301" s="9">
        <v>0.35799999999999998</v>
      </c>
      <c r="H301" s="9">
        <v>0.22</v>
      </c>
      <c r="I301" s="9">
        <v>0.28299999999999997</v>
      </c>
      <c r="J301" s="9">
        <v>0.378</v>
      </c>
      <c r="K301" s="9">
        <v>0.28599999999999998</v>
      </c>
    </row>
    <row r="302" spans="3:11" x14ac:dyDescent="0.15">
      <c r="C302" s="4" t="s">
        <v>72</v>
      </c>
      <c r="D302" s="5" t="s">
        <v>56</v>
      </c>
      <c r="E302" s="4" t="s">
        <v>10</v>
      </c>
      <c r="F302" s="9">
        <v>0.33600000000000002</v>
      </c>
      <c r="G302" s="9">
        <v>0.35</v>
      </c>
      <c r="H302" s="9">
        <v>0.158</v>
      </c>
      <c r="I302" s="9">
        <v>0.17100000000000001</v>
      </c>
      <c r="J302" s="9">
        <v>0.1</v>
      </c>
      <c r="K302" s="9">
        <v>0.13</v>
      </c>
    </row>
    <row r="306" spans="3:8" x14ac:dyDescent="0.15">
      <c r="C306" s="10"/>
      <c r="D306" s="11"/>
      <c r="E306" s="10"/>
      <c r="F306" s="12" t="s">
        <v>63</v>
      </c>
      <c r="G306" s="12" t="s">
        <v>63</v>
      </c>
      <c r="H306" s="12" t="s">
        <v>63</v>
      </c>
    </row>
    <row r="307" spans="3:8" x14ac:dyDescent="0.15">
      <c r="C307" s="14" t="s">
        <v>76</v>
      </c>
      <c r="D307" s="15" t="s">
        <v>23</v>
      </c>
      <c r="E307" s="14" t="s">
        <v>73</v>
      </c>
      <c r="F307" s="16">
        <v>1560</v>
      </c>
      <c r="G307" s="16">
        <v>3390</v>
      </c>
      <c r="H307" s="16">
        <v>767</v>
      </c>
    </row>
    <row r="308" spans="3:8" x14ac:dyDescent="0.15">
      <c r="C308" s="14" t="s">
        <v>76</v>
      </c>
      <c r="D308" s="15" t="s">
        <v>23</v>
      </c>
      <c r="E308" s="14" t="s">
        <v>48</v>
      </c>
      <c r="F308" s="16">
        <v>819</v>
      </c>
      <c r="G308" s="16">
        <v>1300</v>
      </c>
      <c r="H308" s="16">
        <v>314</v>
      </c>
    </row>
    <row r="309" spans="3:8" x14ac:dyDescent="0.15">
      <c r="C309" s="14" t="s">
        <v>76</v>
      </c>
      <c r="D309" s="15" t="s">
        <v>23</v>
      </c>
      <c r="E309" s="14" t="s">
        <v>64</v>
      </c>
      <c r="F309" s="16">
        <v>415</v>
      </c>
      <c r="G309" s="16">
        <v>321</v>
      </c>
      <c r="H309" s="16">
        <v>71.8</v>
      </c>
    </row>
    <row r="310" spans="3:8" x14ac:dyDescent="0.15">
      <c r="C310" s="14" t="s">
        <v>76</v>
      </c>
      <c r="D310" s="15" t="s">
        <v>23</v>
      </c>
      <c r="E310" s="14" t="s">
        <v>49</v>
      </c>
      <c r="F310" s="16">
        <v>122</v>
      </c>
      <c r="G310" s="16">
        <v>34.700000000000003</v>
      </c>
      <c r="H310" s="16">
        <v>7.26</v>
      </c>
    </row>
    <row r="311" spans="3:8" x14ac:dyDescent="0.15">
      <c r="C311" s="14" t="s">
        <v>76</v>
      </c>
      <c r="D311" s="15" t="s">
        <v>23</v>
      </c>
      <c r="E311" s="14" t="s">
        <v>74</v>
      </c>
      <c r="F311" s="16">
        <v>34.9</v>
      </c>
      <c r="G311" s="16">
        <v>4.3</v>
      </c>
      <c r="H311" s="16">
        <v>1.18</v>
      </c>
    </row>
    <row r="312" spans="3:8" x14ac:dyDescent="0.15">
      <c r="C312" s="14" t="s">
        <v>76</v>
      </c>
      <c r="D312" s="15" t="s">
        <v>23</v>
      </c>
      <c r="E312" s="14" t="s">
        <v>26</v>
      </c>
      <c r="F312" s="16">
        <v>11.5</v>
      </c>
      <c r="G312" s="16">
        <v>1.65</v>
      </c>
      <c r="H312" s="16">
        <v>0.93799999999999994</v>
      </c>
    </row>
    <row r="313" spans="3:8" x14ac:dyDescent="0.15">
      <c r="C313" s="14" t="s">
        <v>76</v>
      </c>
      <c r="D313" s="15" t="s">
        <v>23</v>
      </c>
      <c r="E313" s="14" t="s">
        <v>75</v>
      </c>
      <c r="F313" s="16">
        <v>102</v>
      </c>
      <c r="G313" s="16">
        <v>316</v>
      </c>
      <c r="H313" s="16">
        <v>58.3</v>
      </c>
    </row>
    <row r="314" spans="3:8" x14ac:dyDescent="0.15">
      <c r="C314" s="14" t="s">
        <v>76</v>
      </c>
      <c r="D314" s="15" t="s">
        <v>23</v>
      </c>
      <c r="E314" s="14" t="s">
        <v>52</v>
      </c>
      <c r="F314" s="16">
        <v>46.2</v>
      </c>
      <c r="G314" s="16">
        <v>17.7</v>
      </c>
      <c r="H314" s="16">
        <v>3.52</v>
      </c>
    </row>
    <row r="315" spans="3:8" x14ac:dyDescent="0.15">
      <c r="C315" s="14" t="s">
        <v>76</v>
      </c>
      <c r="D315" s="15" t="s">
        <v>23</v>
      </c>
      <c r="E315" s="14" t="s">
        <v>10</v>
      </c>
      <c r="F315" s="16">
        <v>6.49</v>
      </c>
      <c r="G315" s="16">
        <v>4.8099999999999996</v>
      </c>
      <c r="H315" s="16">
        <v>0.75900000000000001</v>
      </c>
    </row>
    <row r="318" spans="3:8" x14ac:dyDescent="0.15">
      <c r="F318" s="8" t="s">
        <v>77</v>
      </c>
      <c r="G318" s="8" t="s">
        <v>39</v>
      </c>
      <c r="H318" s="8" t="s">
        <v>44</v>
      </c>
    </row>
    <row r="319" spans="3:8" x14ac:dyDescent="0.15">
      <c r="C319" s="4" t="s">
        <v>80</v>
      </c>
      <c r="D319" s="5" t="s">
        <v>0</v>
      </c>
      <c r="E319" s="4" t="s">
        <v>78</v>
      </c>
      <c r="F319" s="4">
        <v>3.12</v>
      </c>
      <c r="G319" s="4">
        <v>0.40699999999999997</v>
      </c>
      <c r="H319" s="9">
        <v>0.13100000000000001</v>
      </c>
    </row>
    <row r="320" spans="3:8" x14ac:dyDescent="0.15">
      <c r="C320" s="4" t="s">
        <v>80</v>
      </c>
      <c r="D320" s="5" t="s">
        <v>2</v>
      </c>
      <c r="E320" s="4" t="s">
        <v>78</v>
      </c>
      <c r="F320" s="4">
        <v>3.89</v>
      </c>
      <c r="G320" s="4">
        <v>0.39600000000000002</v>
      </c>
      <c r="H320" s="9">
        <v>0.10199999999999999</v>
      </c>
    </row>
    <row r="321" spans="3:8" x14ac:dyDescent="0.15">
      <c r="C321" s="4" t="s">
        <v>80</v>
      </c>
      <c r="D321" s="5" t="s">
        <v>3</v>
      </c>
      <c r="E321" s="4" t="s">
        <v>78</v>
      </c>
      <c r="F321" s="4">
        <v>2.65</v>
      </c>
      <c r="G321" s="4">
        <v>0.16500000000000001</v>
      </c>
      <c r="H321" s="9">
        <v>6.2399999999999997E-2</v>
      </c>
    </row>
    <row r="322" spans="3:8" x14ac:dyDescent="0.15">
      <c r="C322" s="4" t="s">
        <v>80</v>
      </c>
      <c r="D322" s="5" t="s">
        <v>4</v>
      </c>
      <c r="E322" s="4" t="s">
        <v>78</v>
      </c>
      <c r="F322" s="4">
        <v>4.1399999999999997</v>
      </c>
      <c r="G322" s="4">
        <v>0.68300000000000005</v>
      </c>
      <c r="H322" s="9">
        <v>0.16500000000000001</v>
      </c>
    </row>
    <row r="323" spans="3:8" x14ac:dyDescent="0.15">
      <c r="C323" s="4" t="s">
        <v>80</v>
      </c>
      <c r="D323" s="5" t="s">
        <v>5</v>
      </c>
      <c r="E323" s="4" t="s">
        <v>78</v>
      </c>
      <c r="F323" s="4">
        <v>2.61</v>
      </c>
      <c r="G323" s="4">
        <v>0.46800000000000003</v>
      </c>
      <c r="H323" s="9">
        <v>0.17899999999999999</v>
      </c>
    </row>
    <row r="324" spans="3:8" x14ac:dyDescent="0.15">
      <c r="C324" s="4" t="s">
        <v>80</v>
      </c>
      <c r="D324" s="5" t="s">
        <v>79</v>
      </c>
      <c r="E324" s="4" t="s">
        <v>78</v>
      </c>
      <c r="F324" s="4">
        <v>1.37</v>
      </c>
      <c r="G324" s="4">
        <v>0.18099999999999999</v>
      </c>
      <c r="H324" s="9">
        <v>0.13100000000000001</v>
      </c>
    </row>
    <row r="325" spans="3:8" x14ac:dyDescent="0.15">
      <c r="C325" s="4" t="s">
        <v>80</v>
      </c>
      <c r="D325" s="5" t="s">
        <v>6</v>
      </c>
      <c r="E325" s="4" t="s">
        <v>78</v>
      </c>
      <c r="F325" s="4">
        <v>4.68</v>
      </c>
      <c r="G325" s="4">
        <v>0.25800000000000001</v>
      </c>
      <c r="H325" s="9">
        <v>5.5100000000000003E-2</v>
      </c>
    </row>
    <row r="326" spans="3:8" x14ac:dyDescent="0.15">
      <c r="C326" s="4" t="s">
        <v>80</v>
      </c>
      <c r="D326" s="5"/>
      <c r="E326" s="4"/>
      <c r="F326" s="4"/>
      <c r="G326" s="4"/>
      <c r="H326" s="9"/>
    </row>
    <row r="327" spans="3:8" x14ac:dyDescent="0.15">
      <c r="C327" s="4" t="s">
        <v>80</v>
      </c>
      <c r="D327" s="5"/>
      <c r="E327" s="4"/>
      <c r="F327" s="4"/>
      <c r="G327" s="4"/>
      <c r="H327" s="9"/>
    </row>
    <row r="328" spans="3:8" x14ac:dyDescent="0.15">
      <c r="C328" s="4" t="s">
        <v>80</v>
      </c>
      <c r="D328" s="5" t="s">
        <v>0</v>
      </c>
      <c r="E328" s="4" t="s">
        <v>25</v>
      </c>
      <c r="F328" s="4">
        <v>10.3</v>
      </c>
      <c r="G328" s="4">
        <v>3.15</v>
      </c>
      <c r="H328" s="9">
        <v>0.30399999999999999</v>
      </c>
    </row>
    <row r="329" spans="3:8" x14ac:dyDescent="0.15">
      <c r="C329" s="4" t="s">
        <v>80</v>
      </c>
      <c r="D329" s="5" t="s">
        <v>2</v>
      </c>
      <c r="E329" s="4" t="s">
        <v>25</v>
      </c>
      <c r="F329" s="4">
        <v>6.05</v>
      </c>
      <c r="G329" s="4">
        <v>1.18</v>
      </c>
      <c r="H329" s="9">
        <v>0.19600000000000001</v>
      </c>
    </row>
    <row r="330" spans="3:8" x14ac:dyDescent="0.15">
      <c r="C330" s="4" t="s">
        <v>80</v>
      </c>
      <c r="D330" s="5" t="s">
        <v>3</v>
      </c>
      <c r="E330" s="4" t="s">
        <v>25</v>
      </c>
      <c r="F330" s="4">
        <v>1.69</v>
      </c>
      <c r="G330" s="4">
        <v>0.20599999999999999</v>
      </c>
      <c r="H330" s="9">
        <v>0.122</v>
      </c>
    </row>
    <row r="331" spans="3:8" x14ac:dyDescent="0.15">
      <c r="C331" s="4" t="s">
        <v>80</v>
      </c>
      <c r="D331" s="5" t="s">
        <v>4</v>
      </c>
      <c r="E331" s="4" t="s">
        <v>25</v>
      </c>
      <c r="F331" s="4">
        <v>7.75</v>
      </c>
      <c r="G331" s="4">
        <v>8.4</v>
      </c>
      <c r="H331" s="9">
        <v>1.08</v>
      </c>
    </row>
    <row r="332" spans="3:8" x14ac:dyDescent="0.15">
      <c r="C332" s="4" t="s">
        <v>80</v>
      </c>
      <c r="D332" s="5" t="s">
        <v>5</v>
      </c>
      <c r="E332" s="4" t="s">
        <v>25</v>
      </c>
      <c r="F332" s="4">
        <v>3</v>
      </c>
      <c r="G332" s="4">
        <v>5.34</v>
      </c>
      <c r="H332" s="9">
        <v>1.78</v>
      </c>
    </row>
    <row r="333" spans="3:8" x14ac:dyDescent="0.15">
      <c r="C333" s="4" t="s">
        <v>80</v>
      </c>
      <c r="D333" s="5" t="s">
        <v>79</v>
      </c>
      <c r="E333" s="4" t="s">
        <v>25</v>
      </c>
      <c r="F333" s="4">
        <v>2.35</v>
      </c>
      <c r="G333" s="4">
        <v>1.32</v>
      </c>
      <c r="H333" s="9">
        <v>0.56299999999999994</v>
      </c>
    </row>
    <row r="334" spans="3:8" x14ac:dyDescent="0.15">
      <c r="C334" s="4" t="s">
        <v>80</v>
      </c>
      <c r="D334" s="5" t="s">
        <v>6</v>
      </c>
      <c r="E334" s="4" t="s">
        <v>25</v>
      </c>
      <c r="F334" s="4">
        <v>3.21</v>
      </c>
      <c r="G334" s="4">
        <v>0.29599999999999999</v>
      </c>
      <c r="H334" s="9">
        <v>9.2999999999999999E-2</v>
      </c>
    </row>
    <row r="337" spans="3:8" x14ac:dyDescent="0.15">
      <c r="F337" s="12" t="s">
        <v>63</v>
      </c>
      <c r="G337" s="12" t="s">
        <v>63</v>
      </c>
    </row>
    <row r="338" spans="3:8" x14ac:dyDescent="0.15">
      <c r="C338" s="14" t="s">
        <v>85</v>
      </c>
      <c r="D338" s="15" t="s">
        <v>81</v>
      </c>
      <c r="E338" s="14" t="s">
        <v>82</v>
      </c>
      <c r="F338" s="16">
        <v>70</v>
      </c>
      <c r="G338" s="16">
        <v>51</v>
      </c>
    </row>
    <row r="339" spans="3:8" x14ac:dyDescent="0.15">
      <c r="C339" s="14" t="s">
        <v>85</v>
      </c>
      <c r="D339" s="15" t="s">
        <v>81</v>
      </c>
      <c r="E339" s="14" t="s">
        <v>48</v>
      </c>
      <c r="F339" s="16">
        <v>29</v>
      </c>
      <c r="G339" s="16">
        <v>32</v>
      </c>
    </row>
    <row r="340" spans="3:8" x14ac:dyDescent="0.15">
      <c r="C340" s="14" t="s">
        <v>85</v>
      </c>
      <c r="D340" s="15" t="s">
        <v>81</v>
      </c>
      <c r="E340" s="14" t="s">
        <v>53</v>
      </c>
      <c r="F340" s="16">
        <v>7.6</v>
      </c>
      <c r="G340" s="16">
        <v>8.8000000000000007</v>
      </c>
    </row>
    <row r="341" spans="3:8" x14ac:dyDescent="0.15">
      <c r="C341" s="14" t="s">
        <v>85</v>
      </c>
      <c r="D341" s="15" t="s">
        <v>81</v>
      </c>
      <c r="E341" s="14" t="s">
        <v>49</v>
      </c>
      <c r="F341" s="16">
        <v>1.5</v>
      </c>
      <c r="G341" s="16">
        <v>3</v>
      </c>
    </row>
    <row r="342" spans="3:8" x14ac:dyDescent="0.15">
      <c r="C342" s="14" t="s">
        <v>85</v>
      </c>
      <c r="D342" s="15" t="s">
        <v>81</v>
      </c>
      <c r="E342" s="14" t="s">
        <v>50</v>
      </c>
      <c r="F342" s="16">
        <v>0.28999999999999998</v>
      </c>
      <c r="G342" s="16">
        <v>0.61</v>
      </c>
    </row>
    <row r="343" spans="3:8" x14ac:dyDescent="0.15">
      <c r="C343" s="14" t="s">
        <v>85</v>
      </c>
      <c r="D343" s="15" t="s">
        <v>81</v>
      </c>
      <c r="E343" s="14" t="s">
        <v>83</v>
      </c>
      <c r="F343" s="16">
        <v>0.06</v>
      </c>
      <c r="G343" s="16">
        <v>0.17</v>
      </c>
    </row>
    <row r="344" spans="3:8" x14ac:dyDescent="0.15">
      <c r="C344" s="14" t="s">
        <v>85</v>
      </c>
      <c r="D344" s="15" t="s">
        <v>81</v>
      </c>
      <c r="E344" s="14" t="s">
        <v>84</v>
      </c>
      <c r="F344" s="16">
        <v>0.01</v>
      </c>
      <c r="G344" s="16">
        <v>0.1</v>
      </c>
    </row>
    <row r="345" spans="3:8" x14ac:dyDescent="0.15">
      <c r="C345" s="14" t="s">
        <v>85</v>
      </c>
      <c r="D345" s="15" t="s">
        <v>81</v>
      </c>
      <c r="E345" s="14" t="s">
        <v>51</v>
      </c>
      <c r="F345" s="16">
        <v>14</v>
      </c>
      <c r="G345" s="16">
        <v>18</v>
      </c>
    </row>
    <row r="346" spans="3:8" x14ac:dyDescent="0.15">
      <c r="C346" s="14" t="s">
        <v>85</v>
      </c>
      <c r="D346" s="15" t="s">
        <v>81</v>
      </c>
      <c r="E346" s="14" t="s">
        <v>52</v>
      </c>
      <c r="F346" s="16">
        <v>6.2</v>
      </c>
      <c r="G346" s="16">
        <v>4.8</v>
      </c>
    </row>
    <row r="347" spans="3:8" x14ac:dyDescent="0.15">
      <c r="C347" s="14" t="s">
        <v>85</v>
      </c>
      <c r="D347" s="15" t="s">
        <v>81</v>
      </c>
      <c r="E347" s="14" t="s">
        <v>10</v>
      </c>
      <c r="F347" s="16">
        <v>0.08</v>
      </c>
      <c r="G347" s="16">
        <v>0.19</v>
      </c>
    </row>
    <row r="351" spans="3:8" x14ac:dyDescent="0.15">
      <c r="F351" s="8" t="s">
        <v>37</v>
      </c>
      <c r="G351" s="8" t="s">
        <v>39</v>
      </c>
      <c r="H351" s="8" t="s">
        <v>44</v>
      </c>
    </row>
    <row r="352" spans="3:8" x14ac:dyDescent="0.15">
      <c r="C352" s="6" t="s">
        <v>88</v>
      </c>
      <c r="D352" s="6" t="s">
        <v>86</v>
      </c>
      <c r="E352" s="6" t="s">
        <v>16</v>
      </c>
      <c r="F352" s="6">
        <v>221.2</v>
      </c>
      <c r="G352" s="6">
        <v>69.5</v>
      </c>
      <c r="H352" s="9">
        <f>G352/F352</f>
        <v>0.31419529837251359</v>
      </c>
    </row>
    <row r="353" spans="3:8" x14ac:dyDescent="0.15">
      <c r="C353" s="6" t="s">
        <v>88</v>
      </c>
      <c r="D353" s="6" t="s">
        <v>86</v>
      </c>
      <c r="E353" s="6" t="s">
        <v>15</v>
      </c>
      <c r="F353" s="6">
        <v>101.5</v>
      </c>
      <c r="G353" s="6">
        <v>31.3</v>
      </c>
      <c r="H353" s="9">
        <f t="shared" ref="H353:H360" si="5">G353/F353</f>
        <v>0.30837438423645319</v>
      </c>
    </row>
    <row r="354" spans="3:8" x14ac:dyDescent="0.15">
      <c r="C354" s="6" t="s">
        <v>87</v>
      </c>
      <c r="D354" s="6" t="s">
        <v>86</v>
      </c>
      <c r="E354" s="6" t="s">
        <v>14</v>
      </c>
      <c r="F354" s="6">
        <v>36.799999999999997</v>
      </c>
      <c r="G354" s="6">
        <v>9.6999999999999993</v>
      </c>
      <c r="H354" s="9">
        <f t="shared" si="5"/>
        <v>0.26358695652173914</v>
      </c>
    </row>
    <row r="355" spans="3:8" x14ac:dyDescent="0.15">
      <c r="C355" s="6" t="s">
        <v>87</v>
      </c>
      <c r="D355" s="6" t="s">
        <v>86</v>
      </c>
      <c r="E355" s="6" t="s">
        <v>13</v>
      </c>
      <c r="F355" s="6">
        <v>13.9</v>
      </c>
      <c r="G355" s="6">
        <v>3.4</v>
      </c>
      <c r="H355" s="9">
        <f t="shared" si="5"/>
        <v>0.24460431654676257</v>
      </c>
    </row>
    <row r="356" spans="3:8" x14ac:dyDescent="0.15">
      <c r="C356" s="6" t="s">
        <v>87</v>
      </c>
      <c r="D356" s="6" t="s">
        <v>86</v>
      </c>
      <c r="E356" s="6" t="s">
        <v>7</v>
      </c>
      <c r="F356" s="6">
        <v>8</v>
      </c>
      <c r="G356" s="6">
        <v>2.1</v>
      </c>
      <c r="H356" s="9">
        <f t="shared" si="5"/>
        <v>0.26250000000000001</v>
      </c>
    </row>
    <row r="357" spans="3:8" x14ac:dyDescent="0.15">
      <c r="C357" s="6" t="s">
        <v>87</v>
      </c>
      <c r="D357" s="6" t="s">
        <v>86</v>
      </c>
      <c r="E357" s="6" t="s">
        <v>12</v>
      </c>
      <c r="F357" s="6">
        <v>6</v>
      </c>
      <c r="G357" s="6">
        <v>1.9</v>
      </c>
      <c r="H357" s="9">
        <f t="shared" si="5"/>
        <v>0.31666666666666665</v>
      </c>
    </row>
    <row r="358" spans="3:8" x14ac:dyDescent="0.15">
      <c r="C358" s="6" t="s">
        <v>87</v>
      </c>
      <c r="D358" s="6" t="s">
        <v>86</v>
      </c>
      <c r="E358" s="6" t="s">
        <v>27</v>
      </c>
      <c r="F358" s="6">
        <v>5.7</v>
      </c>
      <c r="G358" s="6">
        <v>1.5</v>
      </c>
      <c r="H358" s="9">
        <f t="shared" si="5"/>
        <v>0.26315789473684209</v>
      </c>
    </row>
    <row r="359" spans="3:8" x14ac:dyDescent="0.15">
      <c r="C359" s="6" t="s">
        <v>87</v>
      </c>
      <c r="D359" s="6" t="s">
        <v>86</v>
      </c>
      <c r="E359" s="6" t="s">
        <v>28</v>
      </c>
      <c r="F359" s="6">
        <v>82.7</v>
      </c>
      <c r="G359" s="6">
        <v>23.9</v>
      </c>
      <c r="H359" s="9">
        <f t="shared" si="5"/>
        <v>0.28899637243047155</v>
      </c>
    </row>
    <row r="360" spans="3:8" x14ac:dyDescent="0.15">
      <c r="C360" s="6" t="s">
        <v>87</v>
      </c>
      <c r="D360" s="6" t="s">
        <v>86</v>
      </c>
      <c r="E360" s="6" t="s">
        <v>9</v>
      </c>
      <c r="F360" s="6">
        <v>5.9</v>
      </c>
      <c r="G360" s="6">
        <v>1.8</v>
      </c>
      <c r="H360" s="9">
        <f t="shared" si="5"/>
        <v>0.30508474576271183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94"/>
  <sheetViews>
    <sheetView topLeftCell="B73" workbookViewId="0">
      <selection activeCell="F19" sqref="F19"/>
    </sheetView>
  </sheetViews>
  <sheetFormatPr defaultRowHeight="13.5" x14ac:dyDescent="0.15"/>
  <cols>
    <col min="2" max="2" width="4.375" customWidth="1"/>
    <col min="3" max="3" width="30.5" customWidth="1"/>
    <col min="4" max="4" width="14.125" customWidth="1"/>
    <col min="6" max="6" width="29.875" customWidth="1"/>
    <col min="7" max="7" width="27.5" customWidth="1"/>
    <col min="8" max="8" width="21.75" customWidth="1"/>
    <col min="9" max="9" width="25.375" customWidth="1"/>
  </cols>
  <sheetData>
    <row r="2" spans="3:8" x14ac:dyDescent="0.15">
      <c r="C2" s="3"/>
      <c r="D2" s="3"/>
      <c r="E2" s="3"/>
      <c r="F2" s="3" t="s">
        <v>36</v>
      </c>
      <c r="G2" s="3" t="s">
        <v>38</v>
      </c>
      <c r="H2" s="9" t="s">
        <v>43</v>
      </c>
    </row>
    <row r="3" spans="3:8" x14ac:dyDescent="0.15">
      <c r="C3" s="3" t="s">
        <v>99</v>
      </c>
      <c r="D3" s="3" t="s">
        <v>2</v>
      </c>
      <c r="E3" s="3" t="s">
        <v>89</v>
      </c>
      <c r="F3" s="22">
        <v>8.8281249999999992E-3</v>
      </c>
      <c r="G3" s="22">
        <v>1.8749999999999999E-2</v>
      </c>
      <c r="H3" s="21">
        <v>2.1238938053097347</v>
      </c>
    </row>
    <row r="4" spans="3:8" x14ac:dyDescent="0.15">
      <c r="C4" s="3" t="s">
        <v>99</v>
      </c>
      <c r="D4" s="3" t="s">
        <v>2</v>
      </c>
      <c r="E4" s="3" t="s">
        <v>89</v>
      </c>
      <c r="F4" s="22">
        <v>5.7142857142857143E-3</v>
      </c>
      <c r="G4" s="22">
        <v>9.7619047619047616E-3</v>
      </c>
      <c r="H4" s="21">
        <v>1.7083333333333333</v>
      </c>
    </row>
    <row r="5" spans="3:8" x14ac:dyDescent="0.15">
      <c r="C5" s="3" t="s">
        <v>99</v>
      </c>
      <c r="D5" s="3" t="s">
        <v>2</v>
      </c>
      <c r="E5" s="3" t="s">
        <v>89</v>
      </c>
      <c r="F5" s="22">
        <v>5.9263803680981598E-3</v>
      </c>
      <c r="G5" s="22">
        <v>1.4355828220858895E-2</v>
      </c>
      <c r="H5" s="21">
        <v>2.4223602484472049</v>
      </c>
    </row>
    <row r="6" spans="3:8" x14ac:dyDescent="0.15">
      <c r="C6" s="3" t="s">
        <v>99</v>
      </c>
      <c r="D6" s="3" t="s">
        <v>2</v>
      </c>
      <c r="E6" s="3" t="s">
        <v>89</v>
      </c>
      <c r="F6" s="22">
        <v>3.9038294708142272E-3</v>
      </c>
      <c r="G6" s="22">
        <v>1.0410211922171272E-2</v>
      </c>
      <c r="H6" s="21">
        <v>2.6666666666666665</v>
      </c>
    </row>
    <row r="7" spans="3:8" x14ac:dyDescent="0.15">
      <c r="C7" s="3" t="s">
        <v>99</v>
      </c>
      <c r="D7" s="3" t="s">
        <v>2</v>
      </c>
      <c r="E7" s="3"/>
      <c r="F7" s="22"/>
      <c r="G7" s="22"/>
      <c r="H7" s="21"/>
    </row>
    <row r="8" spans="3:8" x14ac:dyDescent="0.15">
      <c r="C8" s="3" t="s">
        <v>99</v>
      </c>
      <c r="D8" s="3" t="s">
        <v>2</v>
      </c>
      <c r="E8" s="3" t="s">
        <v>90</v>
      </c>
      <c r="F8" s="23">
        <v>5.2980132450331126E-3</v>
      </c>
      <c r="G8" s="22">
        <v>3.9735099337748344E-3</v>
      </c>
      <c r="H8" s="21">
        <v>0.75</v>
      </c>
    </row>
    <row r="9" spans="3:8" x14ac:dyDescent="0.15">
      <c r="C9" s="3" t="s">
        <v>99</v>
      </c>
      <c r="D9" s="3" t="s">
        <v>2</v>
      </c>
      <c r="E9" s="3" t="s">
        <v>90</v>
      </c>
      <c r="F9" s="23">
        <v>3.6262203626220364E-3</v>
      </c>
      <c r="G9" s="22">
        <v>3.3472803347280333E-3</v>
      </c>
      <c r="H9" s="21">
        <v>0.92307692307692302</v>
      </c>
    </row>
    <row r="10" spans="3:8" x14ac:dyDescent="0.15">
      <c r="C10" s="3" t="s">
        <v>99</v>
      </c>
      <c r="D10" s="3" t="s">
        <v>2</v>
      </c>
      <c r="E10" s="3" t="s">
        <v>90</v>
      </c>
      <c r="F10" s="23">
        <v>2.4251805985552118E-3</v>
      </c>
      <c r="G10" s="22">
        <v>3.4674922600619195E-3</v>
      </c>
      <c r="H10" s="21">
        <v>1.429787234042553</v>
      </c>
    </row>
    <row r="11" spans="3:8" x14ac:dyDescent="0.15">
      <c r="C11" s="3" t="s">
        <v>99</v>
      </c>
      <c r="D11" s="3" t="s">
        <v>2</v>
      </c>
      <c r="E11" s="3" t="s">
        <v>90</v>
      </c>
      <c r="F11" s="23">
        <v>2.1814006888633756E-3</v>
      </c>
      <c r="G11" s="22">
        <v>3.1572904707233064E-3</v>
      </c>
      <c r="H11" s="21">
        <v>1.4473684210526314</v>
      </c>
    </row>
    <row r="12" spans="3:8" x14ac:dyDescent="0.15">
      <c r="C12" s="3" t="s">
        <v>99</v>
      </c>
      <c r="D12" s="3" t="s">
        <v>2</v>
      </c>
      <c r="E12" s="3"/>
      <c r="F12" s="23"/>
      <c r="G12" s="22"/>
      <c r="H12" s="21"/>
    </row>
    <row r="13" spans="3:8" x14ac:dyDescent="0.15">
      <c r="C13" s="3" t="s">
        <v>99</v>
      </c>
      <c r="D13" s="3" t="s">
        <v>2</v>
      </c>
      <c r="E13" s="3" t="s">
        <v>53</v>
      </c>
      <c r="F13" s="23">
        <v>9.2715231788079479E-3</v>
      </c>
      <c r="G13" s="22">
        <v>1.7218543046357616E-3</v>
      </c>
      <c r="H13" s="21">
        <v>0.18571428571428569</v>
      </c>
    </row>
    <row r="14" spans="3:8" x14ac:dyDescent="0.15">
      <c r="C14" s="3" t="s">
        <v>99</v>
      </c>
      <c r="D14" s="3" t="s">
        <v>2</v>
      </c>
      <c r="E14" s="3" t="s">
        <v>53</v>
      </c>
      <c r="F14" s="23">
        <v>2.8846153846153843E-3</v>
      </c>
      <c r="G14" s="22">
        <v>9.6153846153846159E-4</v>
      </c>
      <c r="H14" s="21">
        <v>0.33333333333333337</v>
      </c>
    </row>
    <row r="15" spans="3:8" x14ac:dyDescent="0.15">
      <c r="C15" s="3" t="s">
        <v>99</v>
      </c>
      <c r="D15" s="3" t="s">
        <v>2</v>
      </c>
      <c r="E15" s="3" t="s">
        <v>53</v>
      </c>
      <c r="F15" s="23">
        <v>1.5067178502879079E-3</v>
      </c>
      <c r="G15" s="22">
        <v>9.9808061420345495E-4</v>
      </c>
      <c r="H15" s="21">
        <v>0.66242038216560517</v>
      </c>
    </row>
    <row r="16" spans="3:8" x14ac:dyDescent="0.15">
      <c r="C16" s="3" t="s">
        <v>99</v>
      </c>
      <c r="D16" s="3" t="s">
        <v>2</v>
      </c>
      <c r="E16" s="3" t="s">
        <v>53</v>
      </c>
      <c r="F16" s="23">
        <v>1.5510555794915986E-3</v>
      </c>
      <c r="G16" s="22">
        <v>1.109435588108574E-3</v>
      </c>
      <c r="H16" s="21">
        <v>0.71527777777777779</v>
      </c>
    </row>
    <row r="17" spans="3:8" x14ac:dyDescent="0.15">
      <c r="C17" s="3" t="s">
        <v>99</v>
      </c>
      <c r="D17" s="3" t="s">
        <v>2</v>
      </c>
      <c r="E17" s="3"/>
      <c r="F17" s="22"/>
      <c r="G17" s="22"/>
      <c r="H17" s="21"/>
    </row>
    <row r="18" spans="3:8" x14ac:dyDescent="0.15">
      <c r="C18" s="3" t="s">
        <v>99</v>
      </c>
      <c r="D18" s="3" t="s">
        <v>2</v>
      </c>
      <c r="E18" s="3" t="s">
        <v>91</v>
      </c>
      <c r="F18" s="23">
        <v>1.1971830985915494E-2</v>
      </c>
      <c r="G18" s="22">
        <v>2.1126760563380284E-3</v>
      </c>
      <c r="H18" s="21">
        <v>0.17647058823529413</v>
      </c>
    </row>
    <row r="19" spans="3:8" x14ac:dyDescent="0.15">
      <c r="C19" s="3" t="s">
        <v>99</v>
      </c>
      <c r="D19" s="3" t="s">
        <v>2</v>
      </c>
      <c r="E19" s="3" t="s">
        <v>91</v>
      </c>
      <c r="F19" s="23">
        <v>4.4761904761904756E-3</v>
      </c>
      <c r="G19" s="22">
        <v>8.571428571428571E-4</v>
      </c>
      <c r="H19" s="21">
        <v>0.19148936170212769</v>
      </c>
    </row>
    <row r="20" spans="3:8" x14ac:dyDescent="0.15">
      <c r="C20" s="3" t="s">
        <v>99</v>
      </c>
      <c r="D20" s="3" t="s">
        <v>2</v>
      </c>
      <c r="E20" s="3" t="s">
        <v>91</v>
      </c>
      <c r="F20" s="23">
        <v>3.1865042174320526E-3</v>
      </c>
      <c r="G20" s="22">
        <v>9.5595126522961575E-4</v>
      </c>
      <c r="H20" s="21">
        <v>0.3</v>
      </c>
    </row>
    <row r="21" spans="3:8" x14ac:dyDescent="0.15">
      <c r="C21" s="3" t="s">
        <v>99</v>
      </c>
      <c r="D21" s="3" t="s">
        <v>2</v>
      </c>
      <c r="E21" s="3" t="s">
        <v>91</v>
      </c>
      <c r="F21" s="23">
        <v>1.7818468202402049E-3</v>
      </c>
      <c r="G21" s="22">
        <v>9.2537901161646001E-4</v>
      </c>
      <c r="H21" s="21">
        <v>0.51933701657458564</v>
      </c>
    </row>
    <row r="22" spans="3:8" x14ac:dyDescent="0.15">
      <c r="C22" s="3" t="s">
        <v>99</v>
      </c>
      <c r="D22" s="3" t="s">
        <v>2</v>
      </c>
      <c r="E22" s="3"/>
      <c r="F22" s="22"/>
      <c r="G22" s="22"/>
      <c r="H22" s="21"/>
    </row>
    <row r="23" spans="3:8" x14ac:dyDescent="0.15">
      <c r="C23" s="3" t="s">
        <v>99</v>
      </c>
      <c r="D23" s="3" t="s">
        <v>2</v>
      </c>
      <c r="E23" s="3" t="s">
        <v>25</v>
      </c>
      <c r="F23" s="22">
        <v>3.7313432835820892E-2</v>
      </c>
      <c r="G23" s="22">
        <v>2.2388059701492534E-3</v>
      </c>
      <c r="H23" s="21">
        <v>0.06</v>
      </c>
    </row>
    <row r="24" spans="3:8" x14ac:dyDescent="0.15">
      <c r="C24" s="3" t="s">
        <v>99</v>
      </c>
      <c r="D24" s="3" t="s">
        <v>2</v>
      </c>
      <c r="E24" s="3" t="s">
        <v>25</v>
      </c>
      <c r="F24" s="22">
        <v>1.3177570093457942E-2</v>
      </c>
      <c r="G24" s="22">
        <v>1.0280373831775701E-3</v>
      </c>
      <c r="H24" s="21">
        <v>7.8014184397163122E-2</v>
      </c>
    </row>
    <row r="25" spans="3:8" x14ac:dyDescent="0.15">
      <c r="C25" s="3" t="s">
        <v>99</v>
      </c>
      <c r="D25" s="3" t="s">
        <v>2</v>
      </c>
      <c r="E25" s="3" t="s">
        <v>25</v>
      </c>
      <c r="F25" s="22">
        <v>1.2574257425742573E-2</v>
      </c>
      <c r="G25" s="22">
        <v>1.5346534653465347E-3</v>
      </c>
      <c r="H25" s="21">
        <v>0.12204724409448821</v>
      </c>
    </row>
    <row r="26" spans="3:8" x14ac:dyDescent="0.15">
      <c r="C26" s="3" t="s">
        <v>99</v>
      </c>
      <c r="D26" s="3" t="s">
        <v>2</v>
      </c>
      <c r="E26" s="3" t="s">
        <v>25</v>
      </c>
      <c r="F26" s="22">
        <v>4.698972099853157E-3</v>
      </c>
      <c r="G26" s="22">
        <v>1.5700892352874733E-3</v>
      </c>
      <c r="H26" s="21">
        <v>0.33413461538461542</v>
      </c>
    </row>
    <row r="27" spans="3:8" x14ac:dyDescent="0.15">
      <c r="C27" s="3" t="s">
        <v>99</v>
      </c>
      <c r="D27" s="3" t="s">
        <v>2</v>
      </c>
      <c r="E27" s="3"/>
      <c r="F27" s="22"/>
      <c r="G27" s="22"/>
      <c r="H27" s="21"/>
    </row>
    <row r="28" spans="3:8" x14ac:dyDescent="0.15">
      <c r="C28" s="3" t="s">
        <v>99</v>
      </c>
      <c r="D28" s="3" t="s">
        <v>2</v>
      </c>
      <c r="E28" s="3" t="s">
        <v>92</v>
      </c>
      <c r="F28" s="22">
        <v>0.11176470588235293</v>
      </c>
      <c r="G28" s="22">
        <v>3.529411764705882E-3</v>
      </c>
      <c r="H28" s="21">
        <v>3.1578947368421054E-2</v>
      </c>
    </row>
    <row r="29" spans="3:8" x14ac:dyDescent="0.15">
      <c r="C29" s="3" t="s">
        <v>99</v>
      </c>
      <c r="D29" s="3" t="s">
        <v>2</v>
      </c>
      <c r="E29" s="3" t="s">
        <v>92</v>
      </c>
      <c r="F29" s="22">
        <v>5.9374999999999997E-2</v>
      </c>
      <c r="G29" s="22">
        <v>1.8749999999999999E-3</v>
      </c>
      <c r="H29" s="21">
        <v>3.1578947368421054E-2</v>
      </c>
    </row>
    <row r="30" spans="3:8" x14ac:dyDescent="0.15">
      <c r="C30" s="3" t="s">
        <v>99</v>
      </c>
      <c r="D30" s="3" t="s">
        <v>2</v>
      </c>
      <c r="E30" s="3" t="s">
        <v>92</v>
      </c>
      <c r="F30" s="22">
        <v>5.6603773584905662E-2</v>
      </c>
      <c r="G30" s="22">
        <v>2.4276729559748428E-3</v>
      </c>
      <c r="H30" s="21">
        <v>4.2888888888888886E-2</v>
      </c>
    </row>
    <row r="31" spans="3:8" x14ac:dyDescent="0.15">
      <c r="C31" s="3" t="s">
        <v>99</v>
      </c>
      <c r="D31" s="3" t="s">
        <v>2</v>
      </c>
      <c r="E31" s="3" t="s">
        <v>92</v>
      </c>
      <c r="F31" s="22">
        <v>1.5891177218408339E-2</v>
      </c>
      <c r="G31" s="22">
        <v>2.2756165776760739E-3</v>
      </c>
      <c r="H31" s="21">
        <v>0.14319999999999999</v>
      </c>
    </row>
    <row r="32" spans="3:8" x14ac:dyDescent="0.15">
      <c r="C32" s="3" t="s">
        <v>99</v>
      </c>
      <c r="D32" s="3" t="s">
        <v>2</v>
      </c>
      <c r="E32" s="3"/>
      <c r="F32" s="22"/>
      <c r="G32" s="22"/>
      <c r="H32" s="21"/>
    </row>
    <row r="33" spans="3:8" x14ac:dyDescent="0.15">
      <c r="C33" s="3" t="s">
        <v>99</v>
      </c>
      <c r="D33" s="3" t="s">
        <v>2</v>
      </c>
      <c r="E33" s="3" t="s">
        <v>84</v>
      </c>
      <c r="F33" s="22">
        <v>0.36206896551724138</v>
      </c>
      <c r="G33" s="22">
        <v>8.6206896551724137E-3</v>
      </c>
      <c r="H33" s="21">
        <v>2.3809523809523808E-2</v>
      </c>
    </row>
    <row r="34" spans="3:8" x14ac:dyDescent="0.15">
      <c r="C34" s="3" t="s">
        <v>99</v>
      </c>
      <c r="D34" s="3" t="s">
        <v>2</v>
      </c>
      <c r="E34" s="3" t="s">
        <v>84</v>
      </c>
      <c r="F34" s="22">
        <v>0.12615384615384614</v>
      </c>
      <c r="G34" s="22">
        <v>2E-3</v>
      </c>
      <c r="H34" s="21">
        <v>1.5853658536585366E-2</v>
      </c>
    </row>
    <row r="35" spans="3:8" x14ac:dyDescent="0.15">
      <c r="C35" s="3" t="s">
        <v>99</v>
      </c>
      <c r="D35" s="3" t="s">
        <v>2</v>
      </c>
      <c r="E35" s="3" t="s">
        <v>84</v>
      </c>
      <c r="F35" s="22">
        <v>0.25595238095238093</v>
      </c>
      <c r="G35" s="22">
        <v>3.968253968253968E-3</v>
      </c>
      <c r="H35" s="21">
        <v>1.5503875968992248E-2</v>
      </c>
    </row>
    <row r="36" spans="3:8" x14ac:dyDescent="0.15">
      <c r="C36" s="3" t="s">
        <v>99</v>
      </c>
      <c r="D36" s="3" t="s">
        <v>2</v>
      </c>
      <c r="E36" s="3" t="s">
        <v>84</v>
      </c>
      <c r="F36" s="22">
        <v>6.8670837784220964E-2</v>
      </c>
      <c r="G36" s="22">
        <v>3.052037234854265E-3</v>
      </c>
      <c r="H36" s="21">
        <v>4.4444444444444446E-2</v>
      </c>
    </row>
    <row r="37" spans="3:8" x14ac:dyDescent="0.15">
      <c r="C37" s="3" t="s">
        <v>99</v>
      </c>
      <c r="D37" s="3" t="s">
        <v>2</v>
      </c>
      <c r="E37" s="3"/>
      <c r="F37" s="22"/>
      <c r="G37" s="22"/>
      <c r="H37" s="21"/>
    </row>
    <row r="38" spans="3:8" x14ac:dyDescent="0.15">
      <c r="C38" s="3" t="s">
        <v>99</v>
      </c>
      <c r="D38" s="3" t="s">
        <v>2</v>
      </c>
      <c r="E38" s="3" t="s">
        <v>93</v>
      </c>
      <c r="F38" s="22">
        <v>0.96</v>
      </c>
      <c r="G38" s="22">
        <v>1.6E-2</v>
      </c>
      <c r="H38" s="21">
        <v>1.6666666666666666E-2</v>
      </c>
    </row>
    <row r="39" spans="3:8" x14ac:dyDescent="0.15">
      <c r="C39" s="3" t="s">
        <v>99</v>
      </c>
      <c r="D39" s="3" t="s">
        <v>2</v>
      </c>
      <c r="E39" s="3" t="s">
        <v>93</v>
      </c>
      <c r="F39" s="22">
        <v>0.3125</v>
      </c>
      <c r="G39" s="22">
        <v>2.8124999999999999E-3</v>
      </c>
      <c r="H39" s="21">
        <v>8.9999999999999993E-3</v>
      </c>
    </row>
    <row r="40" spans="3:8" x14ac:dyDescent="0.15">
      <c r="C40" s="3" t="s">
        <v>99</v>
      </c>
      <c r="D40" s="3" t="s">
        <v>2</v>
      </c>
      <c r="E40" s="3" t="s">
        <v>93</v>
      </c>
      <c r="F40" s="22">
        <v>0.7982062780269058</v>
      </c>
      <c r="G40" s="22">
        <v>5.8295964125560538E-3</v>
      </c>
      <c r="H40" s="21">
        <v>7.3033707865168543E-3</v>
      </c>
    </row>
    <row r="41" spans="3:8" x14ac:dyDescent="0.15">
      <c r="C41" s="3" t="s">
        <v>99</v>
      </c>
      <c r="D41" s="3" t="s">
        <v>2</v>
      </c>
      <c r="E41" s="3" t="s">
        <v>93</v>
      </c>
      <c r="F41" s="22">
        <v>0.19866700845936938</v>
      </c>
      <c r="G41" s="22">
        <v>3.0761343245321714E-3</v>
      </c>
      <c r="H41" s="21">
        <v>1.5483870967741937E-2</v>
      </c>
    </row>
    <row r="42" spans="3:8" x14ac:dyDescent="0.15">
      <c r="C42" s="3" t="s">
        <v>99</v>
      </c>
      <c r="D42" s="3" t="s">
        <v>2</v>
      </c>
      <c r="E42" s="3"/>
      <c r="F42" s="22"/>
      <c r="G42" s="22"/>
      <c r="H42" s="21"/>
    </row>
    <row r="43" spans="3:8" x14ac:dyDescent="0.15">
      <c r="C43" s="3" t="s">
        <v>99</v>
      </c>
      <c r="D43" s="3" t="s">
        <v>2</v>
      </c>
      <c r="E43" s="3" t="s">
        <v>94</v>
      </c>
      <c r="F43" s="22">
        <v>1.1904761904761905</v>
      </c>
      <c r="G43" s="22">
        <v>1.4285714285714285E-2</v>
      </c>
      <c r="H43" s="21">
        <v>1.2E-2</v>
      </c>
    </row>
    <row r="44" spans="3:8" x14ac:dyDescent="0.15">
      <c r="C44" s="3" t="s">
        <v>99</v>
      </c>
      <c r="D44" s="3" t="s">
        <v>2</v>
      </c>
      <c r="E44" s="3" t="s">
        <v>94</v>
      </c>
      <c r="F44" s="22">
        <v>0.31428571428571428</v>
      </c>
      <c r="G44" s="22">
        <v>1.7142857142857142E-3</v>
      </c>
      <c r="H44" s="21">
        <v>5.4545454545454541E-3</v>
      </c>
    </row>
    <row r="45" spans="3:8" x14ac:dyDescent="0.15">
      <c r="C45" s="3" t="s">
        <v>99</v>
      </c>
      <c r="D45" s="3" t="s">
        <v>2</v>
      </c>
      <c r="E45" s="3" t="s">
        <v>94</v>
      </c>
      <c r="F45" s="22">
        <v>0.42564102564102563</v>
      </c>
      <c r="G45" s="22">
        <v>3.9487179487179488E-3</v>
      </c>
      <c r="H45" s="21">
        <v>9.2771084337349395E-3</v>
      </c>
    </row>
    <row r="46" spans="3:8" x14ac:dyDescent="0.15">
      <c r="C46" s="3" t="s">
        <v>99</v>
      </c>
      <c r="D46" s="3" t="s">
        <v>2</v>
      </c>
      <c r="E46" s="3" t="s">
        <v>94</v>
      </c>
      <c r="F46" s="22">
        <v>3.3044667274384688E-2</v>
      </c>
      <c r="G46" s="22">
        <v>1.1394712853236098E-3</v>
      </c>
      <c r="H46" s="21">
        <v>3.4482758620689648E-2</v>
      </c>
    </row>
    <row r="47" spans="3:8" x14ac:dyDescent="0.15">
      <c r="C47" s="3" t="s">
        <v>99</v>
      </c>
      <c r="D47" s="3" t="s">
        <v>2</v>
      </c>
      <c r="E47" s="3"/>
      <c r="F47" s="22"/>
      <c r="G47" s="22"/>
      <c r="H47" s="21"/>
    </row>
    <row r="48" spans="3:8" x14ac:dyDescent="0.15">
      <c r="C48" s="3" t="s">
        <v>99</v>
      </c>
      <c r="D48" s="3" t="s">
        <v>2</v>
      </c>
      <c r="E48" s="3" t="s">
        <v>95</v>
      </c>
      <c r="F48" s="22">
        <v>0.7142857142857143</v>
      </c>
      <c r="G48" s="22">
        <v>1.5238095238095238E-2</v>
      </c>
      <c r="H48" s="21">
        <v>2.1333333333333333E-2</v>
      </c>
    </row>
    <row r="49" spans="3:8" x14ac:dyDescent="0.15">
      <c r="C49" s="3" t="s">
        <v>99</v>
      </c>
      <c r="D49" s="3" t="s">
        <v>2</v>
      </c>
      <c r="E49" s="3" t="s">
        <v>95</v>
      </c>
      <c r="F49" s="22">
        <v>0.22941176470588234</v>
      </c>
      <c r="G49" s="22">
        <v>2.8235294117647061E-3</v>
      </c>
      <c r="H49" s="21">
        <v>1.2307692307692309E-2</v>
      </c>
    </row>
    <row r="50" spans="3:8" x14ac:dyDescent="0.15">
      <c r="C50" s="3" t="s">
        <v>99</v>
      </c>
      <c r="D50" s="3" t="s">
        <v>2</v>
      </c>
      <c r="E50" s="3" t="s">
        <v>95</v>
      </c>
      <c r="F50" s="22">
        <v>0.34591194968553457</v>
      </c>
      <c r="G50" s="22">
        <v>2.4528301886792454E-3</v>
      </c>
      <c r="H50" s="21">
        <v>7.0909090909090922E-3</v>
      </c>
    </row>
    <row r="51" spans="3:8" x14ac:dyDescent="0.15">
      <c r="C51" s="3" t="s">
        <v>99</v>
      </c>
      <c r="D51" s="3" t="s">
        <v>2</v>
      </c>
      <c r="E51" s="3" t="s">
        <v>95</v>
      </c>
      <c r="F51" s="22">
        <v>2.7001862197392923E-2</v>
      </c>
      <c r="G51" s="22">
        <v>3.9416511483550588E-4</v>
      </c>
      <c r="H51" s="21">
        <v>1.4597701149425288E-2</v>
      </c>
    </row>
    <row r="52" spans="3:8" x14ac:dyDescent="0.15">
      <c r="C52" s="3" t="s">
        <v>99</v>
      </c>
      <c r="D52" s="3" t="s">
        <v>2</v>
      </c>
      <c r="E52" s="3"/>
      <c r="F52" s="22"/>
      <c r="G52" s="22"/>
      <c r="H52" s="21"/>
    </row>
    <row r="53" spans="3:8" x14ac:dyDescent="0.15">
      <c r="C53" s="3" t="s">
        <v>99</v>
      </c>
      <c r="D53" s="3" t="s">
        <v>2</v>
      </c>
      <c r="E53" s="3" t="s">
        <v>96</v>
      </c>
      <c r="F53" s="22">
        <v>0.59374999999999989</v>
      </c>
      <c r="G53" s="22">
        <v>4.6874999999999998E-3</v>
      </c>
      <c r="H53" s="21">
        <v>7.8947368421052651E-3</v>
      </c>
    </row>
    <row r="54" spans="3:8" x14ac:dyDescent="0.15">
      <c r="C54" s="3" t="s">
        <v>99</v>
      </c>
      <c r="D54" s="3" t="s">
        <v>2</v>
      </c>
      <c r="E54" s="3" t="s">
        <v>96</v>
      </c>
      <c r="F54" s="22">
        <v>0.35000000000000003</v>
      </c>
      <c r="G54" s="22">
        <v>1E-3</v>
      </c>
      <c r="H54" s="21">
        <v>2.8571428571428571E-3</v>
      </c>
    </row>
    <row r="55" spans="3:8" x14ac:dyDescent="0.15">
      <c r="C55" s="3" t="s">
        <v>99</v>
      </c>
      <c r="D55" s="3" t="s">
        <v>2</v>
      </c>
      <c r="E55" s="3" t="s">
        <v>96</v>
      </c>
      <c r="F55" s="22">
        <v>0.31603773584905659</v>
      </c>
      <c r="G55" s="22">
        <v>5.188679245283019E-4</v>
      </c>
      <c r="H55" s="21">
        <v>1.6417910447761195E-3</v>
      </c>
    </row>
    <row r="56" spans="3:8" x14ac:dyDescent="0.15">
      <c r="C56" s="3" t="s">
        <v>99</v>
      </c>
      <c r="D56" s="3" t="s">
        <v>2</v>
      </c>
      <c r="E56" s="3" t="s">
        <v>96</v>
      </c>
      <c r="F56" s="22">
        <v>3.4169781099839827E-2</v>
      </c>
      <c r="G56" s="22">
        <v>8.0085424452749603E-5</v>
      </c>
      <c r="H56" s="21">
        <v>2.3437500000000003E-3</v>
      </c>
    </row>
    <row r="57" spans="3:8" x14ac:dyDescent="0.15">
      <c r="C57" s="3" t="s">
        <v>99</v>
      </c>
      <c r="D57" s="3" t="s">
        <v>2</v>
      </c>
      <c r="E57" s="3"/>
      <c r="F57" s="22"/>
      <c r="G57" s="22"/>
      <c r="H57" s="21"/>
    </row>
    <row r="58" spans="3:8" x14ac:dyDescent="0.15">
      <c r="C58" s="3" t="s">
        <v>99</v>
      </c>
      <c r="D58" s="3" t="s">
        <v>2</v>
      </c>
      <c r="E58" s="3" t="s">
        <v>97</v>
      </c>
      <c r="F58" s="22">
        <v>8.2278481012658233E-3</v>
      </c>
      <c r="G58" s="22">
        <v>1.8987341772151898E-3</v>
      </c>
      <c r="H58" s="21">
        <v>0.23076923076923075</v>
      </c>
    </row>
    <row r="59" spans="3:8" x14ac:dyDescent="0.15">
      <c r="C59" s="3" t="s">
        <v>99</v>
      </c>
      <c r="D59" s="3" t="s">
        <v>2</v>
      </c>
      <c r="E59" s="3" t="s">
        <v>97</v>
      </c>
      <c r="F59" s="22">
        <v>4.3749999999999995E-3</v>
      </c>
      <c r="G59" s="22">
        <v>6.2500000000000001E-4</v>
      </c>
      <c r="H59" s="21">
        <v>0.14285714285714288</v>
      </c>
    </row>
    <row r="60" spans="3:8" x14ac:dyDescent="0.15">
      <c r="C60" s="3" t="s">
        <v>99</v>
      </c>
      <c r="D60" s="3" t="s">
        <v>2</v>
      </c>
      <c r="E60" s="3" t="s">
        <v>97</v>
      </c>
      <c r="F60" s="22">
        <v>2.1065088757396449E-3</v>
      </c>
      <c r="G60" s="22">
        <v>6.5088757396449708E-4</v>
      </c>
      <c r="H60" s="21">
        <v>0.30898876404494385</v>
      </c>
    </row>
    <row r="61" spans="3:8" x14ac:dyDescent="0.15">
      <c r="C61" s="3" t="s">
        <v>99</v>
      </c>
      <c r="D61" s="3" t="s">
        <v>2</v>
      </c>
      <c r="E61" s="3" t="s">
        <v>97</v>
      </c>
      <c r="F61" s="22">
        <v>2.255639097744361E-3</v>
      </c>
      <c r="G61" s="22">
        <v>7.9289131920710866E-4</v>
      </c>
      <c r="H61" s="21">
        <v>0.3515151515151515</v>
      </c>
    </row>
    <row r="62" spans="3:8" x14ac:dyDescent="0.15">
      <c r="C62" s="3" t="s">
        <v>99</v>
      </c>
      <c r="D62" s="3" t="s">
        <v>2</v>
      </c>
      <c r="E62" s="3"/>
      <c r="F62" s="22"/>
      <c r="G62" s="22"/>
      <c r="H62" s="21"/>
    </row>
    <row r="63" spans="3:8" x14ac:dyDescent="0.15">
      <c r="C63" s="3" t="s">
        <v>99</v>
      </c>
      <c r="D63" s="3" t="s">
        <v>2</v>
      </c>
      <c r="E63" s="3" t="s">
        <v>98</v>
      </c>
      <c r="F63" s="22">
        <v>2.1100917431192662E-2</v>
      </c>
      <c r="G63" s="22">
        <v>1.2844036697247706E-3</v>
      </c>
      <c r="H63" s="21">
        <v>6.08695652173913E-2</v>
      </c>
    </row>
    <row r="64" spans="3:8" x14ac:dyDescent="0.15">
      <c r="C64" s="3" t="s">
        <v>99</v>
      </c>
      <c r="D64" s="3" t="s">
        <v>2</v>
      </c>
      <c r="E64" s="3" t="s">
        <v>98</v>
      </c>
      <c r="F64" s="22">
        <v>1.0253164556962025E-2</v>
      </c>
      <c r="G64" s="22">
        <v>6.329113924050633E-4</v>
      </c>
      <c r="H64" s="21">
        <v>6.1728395061728399E-2</v>
      </c>
    </row>
    <row r="65" spans="3:8" x14ac:dyDescent="0.15">
      <c r="C65" s="3" t="s">
        <v>99</v>
      </c>
      <c r="D65" s="3" t="s">
        <v>2</v>
      </c>
      <c r="E65" s="3" t="s">
        <v>98</v>
      </c>
      <c r="F65" s="22">
        <v>6.4971751412429384E-3</v>
      </c>
      <c r="G65" s="22">
        <v>5.1789077212806029E-4</v>
      </c>
      <c r="H65" s="21">
        <v>7.9710144927536225E-2</v>
      </c>
    </row>
    <row r="66" spans="3:8" x14ac:dyDescent="0.15">
      <c r="C66" s="3" t="s">
        <v>99</v>
      </c>
      <c r="D66" s="3" t="s">
        <v>2</v>
      </c>
      <c r="E66" s="3" t="s">
        <v>98</v>
      </c>
      <c r="F66" s="22">
        <v>3.1918289179699967E-3</v>
      </c>
      <c r="G66" s="22">
        <v>6.1708692414086603E-4</v>
      </c>
      <c r="H66" s="21">
        <v>0.19333333333333333</v>
      </c>
    </row>
    <row r="71" spans="3:8" x14ac:dyDescent="0.15">
      <c r="F71" s="19" t="s">
        <v>44</v>
      </c>
    </row>
    <row r="72" spans="3:8" x14ac:dyDescent="0.15">
      <c r="C72" s="3" t="s">
        <v>101</v>
      </c>
      <c r="D72" s="3" t="s">
        <v>102</v>
      </c>
      <c r="E72" s="3" t="s">
        <v>98</v>
      </c>
      <c r="F72" s="9">
        <v>0.73899999999999999</v>
      </c>
    </row>
    <row r="73" spans="3:8" x14ac:dyDescent="0.15">
      <c r="C73" s="3" t="s">
        <v>101</v>
      </c>
      <c r="D73" s="3" t="s">
        <v>102</v>
      </c>
      <c r="E73" s="3" t="s">
        <v>75</v>
      </c>
      <c r="F73" s="9">
        <v>0.21</v>
      </c>
    </row>
    <row r="74" spans="3:8" x14ac:dyDescent="0.15">
      <c r="C74" s="3" t="s">
        <v>100</v>
      </c>
      <c r="D74" s="3" t="s">
        <v>102</v>
      </c>
      <c r="E74" s="3" t="s">
        <v>46</v>
      </c>
      <c r="F74" s="9">
        <v>0.13300000000000001</v>
      </c>
    </row>
    <row r="75" spans="3:8" x14ac:dyDescent="0.15">
      <c r="C75" s="3" t="s">
        <v>100</v>
      </c>
      <c r="D75" s="3"/>
      <c r="E75" s="3"/>
      <c r="F75" s="9"/>
    </row>
    <row r="76" spans="3:8" x14ac:dyDescent="0.15">
      <c r="C76" s="3" t="s">
        <v>100</v>
      </c>
      <c r="D76" s="3" t="s">
        <v>103</v>
      </c>
      <c r="E76" s="3" t="s">
        <v>46</v>
      </c>
      <c r="F76" s="9">
        <v>2.1000000000000001E-2</v>
      </c>
    </row>
    <row r="77" spans="3:8" x14ac:dyDescent="0.15">
      <c r="C77" s="3" t="s">
        <v>100</v>
      </c>
      <c r="D77" s="3" t="s">
        <v>103</v>
      </c>
      <c r="E77" s="3" t="s">
        <v>104</v>
      </c>
      <c r="F77" s="9">
        <v>1.7000000000000001E-2</v>
      </c>
    </row>
    <row r="78" spans="3:8" x14ac:dyDescent="0.15">
      <c r="C78" s="3" t="s">
        <v>100</v>
      </c>
      <c r="D78" s="3" t="s">
        <v>103</v>
      </c>
      <c r="E78" s="3" t="s">
        <v>75</v>
      </c>
      <c r="F78" s="9">
        <v>1.2999999999999999E-2</v>
      </c>
    </row>
    <row r="79" spans="3:8" x14ac:dyDescent="0.15">
      <c r="C79" s="3" t="s">
        <v>100</v>
      </c>
      <c r="D79" s="3"/>
      <c r="E79" s="3"/>
      <c r="F79" s="9"/>
    </row>
    <row r="80" spans="3:8" x14ac:dyDescent="0.15">
      <c r="C80" s="3" t="s">
        <v>100</v>
      </c>
      <c r="D80" s="3" t="s">
        <v>105</v>
      </c>
      <c r="E80" s="3" t="s">
        <v>106</v>
      </c>
      <c r="F80" s="9">
        <v>0.16400000000000001</v>
      </c>
    </row>
    <row r="81" spans="3:6" x14ac:dyDescent="0.15">
      <c r="C81" s="3" t="s">
        <v>100</v>
      </c>
      <c r="D81" s="3" t="s">
        <v>105</v>
      </c>
      <c r="E81" s="3" t="s">
        <v>104</v>
      </c>
      <c r="F81" s="9">
        <v>6.2E-2</v>
      </c>
    </row>
    <row r="82" spans="3:6" x14ac:dyDescent="0.15">
      <c r="C82" s="3" t="s">
        <v>100</v>
      </c>
      <c r="D82" s="3" t="s">
        <v>105</v>
      </c>
      <c r="E82" s="3" t="s">
        <v>75</v>
      </c>
      <c r="F82" s="9">
        <v>0.06</v>
      </c>
    </row>
    <row r="88" spans="3:6" x14ac:dyDescent="0.15">
      <c r="C88" s="3"/>
      <c r="D88" s="3"/>
      <c r="E88" s="3"/>
      <c r="F88" s="9" t="s">
        <v>44</v>
      </c>
    </row>
    <row r="89" spans="3:6" x14ac:dyDescent="0.15">
      <c r="C89" s="3" t="s">
        <v>108</v>
      </c>
      <c r="D89" s="3" t="s">
        <v>102</v>
      </c>
      <c r="E89" s="3" t="s">
        <v>109</v>
      </c>
      <c r="F89" s="20">
        <v>0.66</v>
      </c>
    </row>
    <row r="90" spans="3:6" x14ac:dyDescent="0.15">
      <c r="C90" s="3" t="s">
        <v>107</v>
      </c>
      <c r="D90" s="3" t="s">
        <v>102</v>
      </c>
      <c r="E90" s="3" t="s">
        <v>110</v>
      </c>
      <c r="F90" s="20">
        <v>0.45</v>
      </c>
    </row>
    <row r="91" spans="3:6" x14ac:dyDescent="0.15">
      <c r="C91" s="3" t="s">
        <v>107</v>
      </c>
      <c r="D91" s="3" t="s">
        <v>102</v>
      </c>
      <c r="E91" s="3" t="s">
        <v>111</v>
      </c>
      <c r="F91" s="20">
        <v>1.1000000000000001</v>
      </c>
    </row>
    <row r="92" spans="3:6" x14ac:dyDescent="0.15">
      <c r="C92" s="3" t="s">
        <v>107</v>
      </c>
      <c r="D92" s="3" t="s">
        <v>102</v>
      </c>
      <c r="E92" s="3" t="s">
        <v>53</v>
      </c>
      <c r="F92" s="20">
        <v>0.34</v>
      </c>
    </row>
    <row r="93" spans="3:6" x14ac:dyDescent="0.15">
      <c r="C93" s="3" t="s">
        <v>107</v>
      </c>
      <c r="D93" s="3" t="s">
        <v>102</v>
      </c>
      <c r="E93" s="3" t="s">
        <v>25</v>
      </c>
      <c r="F93" s="20">
        <v>2.1000000000000001E-2</v>
      </c>
    </row>
    <row r="94" spans="3:6" x14ac:dyDescent="0.15">
      <c r="C94" s="3" t="s">
        <v>107</v>
      </c>
      <c r="D94" s="3" t="s">
        <v>102</v>
      </c>
      <c r="E94" s="3" t="s">
        <v>10</v>
      </c>
      <c r="F94" s="20">
        <v>1.7999999999999999E-2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85"/>
  <sheetViews>
    <sheetView workbookViewId="0">
      <selection activeCell="M9" sqref="M9"/>
    </sheetView>
  </sheetViews>
  <sheetFormatPr defaultRowHeight="13.5" x14ac:dyDescent="0.15"/>
  <sheetData>
    <row r="3" spans="2:13" x14ac:dyDescent="0.15">
      <c r="B3" s="24" t="s">
        <v>118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2:13" x14ac:dyDescent="0.15">
      <c r="B4" s="10" t="s">
        <v>119</v>
      </c>
      <c r="C4" s="10" t="s">
        <v>120</v>
      </c>
      <c r="D4" s="10" t="s">
        <v>121</v>
      </c>
      <c r="E4" s="10" t="s">
        <v>122</v>
      </c>
      <c r="F4" s="10" t="s">
        <v>123</v>
      </c>
      <c r="G4" s="10" t="s">
        <v>124</v>
      </c>
      <c r="H4" s="10" t="s">
        <v>125</v>
      </c>
      <c r="I4" s="10" t="s">
        <v>126</v>
      </c>
      <c r="J4" s="10" t="s">
        <v>127</v>
      </c>
      <c r="K4" s="10" t="s">
        <v>119</v>
      </c>
      <c r="L4" s="10" t="s">
        <v>121</v>
      </c>
      <c r="M4" s="10" t="s">
        <v>123</v>
      </c>
    </row>
    <row r="5" spans="2:13" x14ac:dyDescent="0.15">
      <c r="B5" s="10" t="s">
        <v>16</v>
      </c>
      <c r="C5" s="10" t="s">
        <v>15</v>
      </c>
      <c r="D5" s="10" t="s">
        <v>14</v>
      </c>
      <c r="E5" s="10" t="s">
        <v>13</v>
      </c>
      <c r="F5" s="10" t="s">
        <v>7</v>
      </c>
      <c r="G5" s="10" t="s">
        <v>12</v>
      </c>
      <c r="H5" s="10" t="s">
        <v>27</v>
      </c>
      <c r="I5" s="10" t="s">
        <v>128</v>
      </c>
      <c r="J5" s="10" t="s">
        <v>129</v>
      </c>
      <c r="K5" s="10" t="s">
        <v>28</v>
      </c>
      <c r="L5" s="10" t="s">
        <v>29</v>
      </c>
      <c r="M5" s="10" t="s">
        <v>9</v>
      </c>
    </row>
    <row r="6" spans="2:13" x14ac:dyDescent="0.15">
      <c r="B6" s="25">
        <v>4.7328767123287676</v>
      </c>
      <c r="C6" s="25">
        <v>4.3789473684210529</v>
      </c>
      <c r="D6" s="25">
        <v>3.3565217391304349</v>
      </c>
      <c r="E6" s="25">
        <v>6.875</v>
      </c>
      <c r="F6" s="25">
        <v>8.9411764705882355</v>
      </c>
      <c r="G6" s="25">
        <v>4.0227272727272725</v>
      </c>
      <c r="H6" s="25">
        <v>2.5</v>
      </c>
      <c r="I6" s="25">
        <v>7.1999999999999995E-2</v>
      </c>
      <c r="J6" s="25">
        <v>0.11</v>
      </c>
      <c r="K6" s="25">
        <v>2.6614173228346454</v>
      </c>
      <c r="L6" s="25">
        <v>3.6390243902439026</v>
      </c>
      <c r="M6" s="25">
        <v>5.3428571428571434</v>
      </c>
    </row>
    <row r="7" spans="2:13" x14ac:dyDescent="0.15">
      <c r="B7" s="25">
        <v>2.8656629994209615</v>
      </c>
      <c r="C7" s="25">
        <v>3.3359375000000004</v>
      </c>
      <c r="D7" s="25">
        <v>2.4968553459119498</v>
      </c>
      <c r="E7" s="25">
        <v>0.84797297297297292</v>
      </c>
      <c r="F7" s="25">
        <v>0.5</v>
      </c>
      <c r="G7" s="25">
        <v>0.36315789473684207</v>
      </c>
      <c r="H7" s="25">
        <v>0.30188679245283018</v>
      </c>
      <c r="I7" s="25">
        <v>0.151</v>
      </c>
      <c r="J7" s="25">
        <v>0.159</v>
      </c>
      <c r="K7" s="25">
        <v>0.87698412698412698</v>
      </c>
      <c r="L7" s="25">
        <v>0.46385542168674698</v>
      </c>
      <c r="M7" s="25">
        <v>0.32938388625592419</v>
      </c>
    </row>
    <row r="8" spans="2:13" x14ac:dyDescent="0.15">
      <c r="B8" s="25">
        <v>5.1646825396825395</v>
      </c>
      <c r="C8" s="25">
        <v>11.276315789473685</v>
      </c>
      <c r="D8" s="25">
        <v>6.1586206896551721</v>
      </c>
      <c r="E8" s="25">
        <v>2.0159574468085109</v>
      </c>
      <c r="F8" s="25">
        <v>2.5208333333333335</v>
      </c>
      <c r="G8" s="25">
        <v>1.2239583333333335</v>
      </c>
      <c r="H8" s="25">
        <v>0.77297297297297285</v>
      </c>
      <c r="I8" s="25">
        <v>4.5999999999999999E-2</v>
      </c>
      <c r="J8" s="25">
        <v>6.5000000000000002E-2</v>
      </c>
      <c r="K8" s="25">
        <v>5.140845070422535</v>
      </c>
      <c r="L8" s="25">
        <v>3.1999999999999997</v>
      </c>
      <c r="M8" s="25">
        <v>0.9359823399558499</v>
      </c>
    </row>
    <row r="9" spans="2:13" x14ac:dyDescent="0.15">
      <c r="B9" s="25">
        <v>5.6424870466321249</v>
      </c>
      <c r="C9" s="25">
        <v>8.6923076923076916</v>
      </c>
      <c r="D9" s="25">
        <v>3.3269230769230766</v>
      </c>
      <c r="E9" s="25">
        <v>0.80645161290322576</v>
      </c>
      <c r="F9" s="25">
        <v>0.65822784810126578</v>
      </c>
      <c r="G9" s="25">
        <v>0.25730994152046782</v>
      </c>
      <c r="H9" s="25">
        <v>0.1048951048951049</v>
      </c>
      <c r="I9" s="25">
        <v>0.12</v>
      </c>
      <c r="J9" s="25">
        <v>0.17599999999999999</v>
      </c>
      <c r="K9" s="25">
        <v>4.6292134831460672</v>
      </c>
      <c r="L9" s="26">
        <v>1.04</v>
      </c>
      <c r="M9" s="25">
        <v>0.51882845188284521</v>
      </c>
    </row>
    <row r="10" spans="2:13" x14ac:dyDescent="0.15">
      <c r="B10" s="26">
        <v>11.9</v>
      </c>
      <c r="C10" s="25">
        <v>0.57999999999999996</v>
      </c>
      <c r="D10" s="26">
        <v>2.6</v>
      </c>
      <c r="E10" s="25">
        <v>0.38700000000000001</v>
      </c>
      <c r="F10" s="25">
        <v>0.59523809523809523</v>
      </c>
      <c r="G10" s="25">
        <v>8.4000000000000005E-2</v>
      </c>
      <c r="H10" s="25">
        <v>6.8000000000000005E-2</v>
      </c>
      <c r="I10" s="25">
        <v>3.5999999999999997E-2</v>
      </c>
      <c r="J10" s="25">
        <v>5.7000000000000002E-2</v>
      </c>
      <c r="K10" s="26">
        <v>4.51</v>
      </c>
      <c r="L10" s="26">
        <v>1.28</v>
      </c>
      <c r="M10" s="25">
        <v>0.22589531680440772</v>
      </c>
    </row>
    <row r="11" spans="2:13" x14ac:dyDescent="0.15">
      <c r="B11" s="26">
        <v>11.1</v>
      </c>
      <c r="C11" s="25">
        <v>0.50900000000000001</v>
      </c>
      <c r="D11" s="26">
        <v>1.9</v>
      </c>
      <c r="E11" s="25">
        <v>0.34100000000000003</v>
      </c>
      <c r="F11" s="25">
        <v>0.59374999999999989</v>
      </c>
      <c r="G11" s="25">
        <v>0.223</v>
      </c>
      <c r="H11" s="25">
        <v>0.126</v>
      </c>
      <c r="I11" s="25">
        <v>7.1999999999999995E-2</v>
      </c>
      <c r="J11" s="25">
        <v>0.112</v>
      </c>
      <c r="K11" s="26">
        <v>1.86</v>
      </c>
      <c r="L11" s="25">
        <v>0.29699999999999999</v>
      </c>
      <c r="M11" s="25">
        <v>0.10401459854014597</v>
      </c>
    </row>
    <row r="12" spans="2:13" x14ac:dyDescent="0.15">
      <c r="B12" s="25">
        <v>0.31419529837251359</v>
      </c>
      <c r="C12" s="25">
        <v>0.47899999999999998</v>
      </c>
      <c r="D12" s="25">
        <v>1.6</v>
      </c>
      <c r="E12" s="25">
        <v>0.436</v>
      </c>
      <c r="F12" s="25">
        <v>0.83544303797468344</v>
      </c>
      <c r="G12" s="25">
        <v>6.6000000000000003E-2</v>
      </c>
      <c r="H12" s="25">
        <v>4.7E-2</v>
      </c>
      <c r="I12" s="25">
        <v>1.6666666666666666E-2</v>
      </c>
      <c r="J12" s="25">
        <v>1.2E-2</v>
      </c>
      <c r="K12" s="25">
        <v>0.128</v>
      </c>
      <c r="L12" s="25">
        <v>0.35799999999999998</v>
      </c>
      <c r="M12" s="25">
        <v>0.10344827586206898</v>
      </c>
    </row>
    <row r="13" spans="2:13" x14ac:dyDescent="0.15">
      <c r="B13" s="25">
        <v>2.1238938053097347</v>
      </c>
      <c r="C13" s="25">
        <v>0.39300000000000002</v>
      </c>
      <c r="D13" s="25">
        <v>0.60399999999999998</v>
      </c>
      <c r="E13" s="25">
        <v>0.39600000000000002</v>
      </c>
      <c r="F13" s="25">
        <v>0.47407407407407409</v>
      </c>
      <c r="G13" s="25">
        <v>0.11700000000000001</v>
      </c>
      <c r="H13" s="25">
        <v>0.115</v>
      </c>
      <c r="I13" s="25">
        <v>8.9999999999999993E-3</v>
      </c>
      <c r="J13" s="25">
        <v>5.4545454545454541E-3</v>
      </c>
      <c r="K13" s="25">
        <v>0.13900000000000001</v>
      </c>
      <c r="L13" s="25">
        <v>0.22</v>
      </c>
      <c r="M13" s="25">
        <v>0.18032786885245902</v>
      </c>
    </row>
    <row r="14" spans="2:13" x14ac:dyDescent="0.15">
      <c r="B14" s="25">
        <v>1.7083333333333333</v>
      </c>
      <c r="C14" s="25">
        <v>0.57699999999999996</v>
      </c>
      <c r="D14" s="25">
        <v>1.7</v>
      </c>
      <c r="E14" s="25">
        <v>0.433</v>
      </c>
      <c r="F14" s="25">
        <v>0.44736842105263158</v>
      </c>
      <c r="G14" s="25">
        <v>5.2999999999999999E-2</v>
      </c>
      <c r="H14" s="25">
        <v>3.3000000000000002E-2</v>
      </c>
      <c r="I14" s="25">
        <v>7.3033707865168543E-3</v>
      </c>
      <c r="J14" s="25">
        <v>9.2771084337349395E-3</v>
      </c>
      <c r="K14" s="25">
        <v>0.16300000000000001</v>
      </c>
      <c r="L14" s="25">
        <v>0.28299999999999997</v>
      </c>
      <c r="M14" s="25">
        <v>0.20560747663551401</v>
      </c>
    </row>
    <row r="15" spans="2:13" x14ac:dyDescent="0.15">
      <c r="B15" s="25">
        <v>2.4223602484472049</v>
      </c>
      <c r="C15" s="25">
        <v>0.39300000000000002</v>
      </c>
      <c r="D15" s="25">
        <v>0.74099999999999999</v>
      </c>
      <c r="E15" s="25">
        <v>0.40400000000000003</v>
      </c>
      <c r="F15" s="25">
        <v>0.83870967741935487</v>
      </c>
      <c r="G15" s="25">
        <v>9.0999999999999998E-2</v>
      </c>
      <c r="H15" s="25">
        <v>7.0000000000000007E-2</v>
      </c>
      <c r="I15" s="25">
        <v>1.5483870967741937E-2</v>
      </c>
      <c r="J15" s="25">
        <v>3.4482758620689648E-2</v>
      </c>
      <c r="K15" s="25">
        <v>0.13600000000000001</v>
      </c>
      <c r="L15" s="25">
        <v>0.378</v>
      </c>
      <c r="M15" s="25">
        <v>7.5435203094777567E-2</v>
      </c>
    </row>
    <row r="16" spans="2:13" x14ac:dyDescent="0.15">
      <c r="B16" s="25">
        <v>2.6666666666666665</v>
      </c>
      <c r="C16" s="25">
        <v>0.30837438423645319</v>
      </c>
      <c r="D16" s="25">
        <v>1.91</v>
      </c>
      <c r="E16" s="25">
        <v>0.24460431654676257</v>
      </c>
      <c r="F16" s="25">
        <v>0.36231884057971014</v>
      </c>
      <c r="G16" s="25">
        <v>0.31666666666666665</v>
      </c>
      <c r="H16" s="25">
        <v>0.26315789473684209</v>
      </c>
      <c r="I16" s="25"/>
      <c r="J16" s="25"/>
      <c r="K16" s="25">
        <v>0.13500000000000001</v>
      </c>
      <c r="L16" s="25">
        <v>0.28599999999999998</v>
      </c>
      <c r="M16" s="25">
        <v>4.7087980173482029E-2</v>
      </c>
    </row>
    <row r="17" spans="2:13" x14ac:dyDescent="0.15">
      <c r="B17" s="25">
        <v>1.1000000000000001</v>
      </c>
      <c r="C17" s="25">
        <v>0.75</v>
      </c>
      <c r="D17" s="25">
        <v>0.98</v>
      </c>
      <c r="E17" s="25">
        <v>0.17647058823529413</v>
      </c>
      <c r="F17" s="25">
        <v>0.30097087378640774</v>
      </c>
      <c r="G17" s="25">
        <v>3.1578947368421054E-2</v>
      </c>
      <c r="H17" s="25">
        <v>2.3809523809523808E-2</v>
      </c>
      <c r="I17" s="25"/>
      <c r="J17" s="25"/>
      <c r="K17" s="25">
        <v>0.14000000000000001</v>
      </c>
      <c r="L17" s="25">
        <v>6.08695652173913E-2</v>
      </c>
      <c r="M17" s="25">
        <v>9.2909535452322736E-2</v>
      </c>
    </row>
    <row r="18" spans="2:13" x14ac:dyDescent="0.15">
      <c r="B18" s="25"/>
      <c r="C18" s="25">
        <v>0.92307692307692302</v>
      </c>
      <c r="D18" s="25">
        <v>0.26358695652173914</v>
      </c>
      <c r="E18" s="25">
        <v>0.19148936170212769</v>
      </c>
      <c r="F18" s="25">
        <v>0.90624999999999989</v>
      </c>
      <c r="G18" s="25">
        <v>3.1578947368421054E-2</v>
      </c>
      <c r="H18" s="25">
        <v>1.5853658536585366E-2</v>
      </c>
      <c r="I18" s="25"/>
      <c r="J18" s="25"/>
      <c r="K18" s="25">
        <v>0.28899637243047155</v>
      </c>
      <c r="L18" s="25">
        <v>6.1728395061728399E-2</v>
      </c>
      <c r="M18" s="25">
        <v>2.5016903313049357E-2</v>
      </c>
    </row>
    <row r="19" spans="2:13" x14ac:dyDescent="0.15">
      <c r="B19" s="25"/>
      <c r="C19" s="25">
        <v>1.429787234042553</v>
      </c>
      <c r="D19" s="25">
        <v>0.18571428571428569</v>
      </c>
      <c r="E19" s="25">
        <v>0.3</v>
      </c>
      <c r="F19" s="25">
        <v>0.56521739130434789</v>
      </c>
      <c r="G19" s="25">
        <v>4.2888888888888886E-2</v>
      </c>
      <c r="H19" s="25">
        <v>1.5503875968992248E-2</v>
      </c>
      <c r="I19" s="25"/>
      <c r="J19" s="25"/>
      <c r="K19" s="25">
        <v>0.23076923076923075</v>
      </c>
      <c r="L19" s="25">
        <v>7.9710144927536225E-2</v>
      </c>
      <c r="M19" s="25">
        <v>7.9069767441860478E-2</v>
      </c>
    </row>
    <row r="20" spans="2:13" x14ac:dyDescent="0.15">
      <c r="B20" s="25"/>
      <c r="C20" s="25">
        <v>1.4473684210526314</v>
      </c>
      <c r="D20" s="25">
        <v>0.33333333333333337</v>
      </c>
      <c r="E20" s="25">
        <v>0.51933701657458564</v>
      </c>
      <c r="F20" s="25">
        <v>0.54761904761904756</v>
      </c>
      <c r="G20" s="25">
        <v>0.14319999999999999</v>
      </c>
      <c r="H20" s="25">
        <v>4.4444444444444446E-2</v>
      </c>
      <c r="I20" s="25"/>
      <c r="J20" s="25"/>
      <c r="K20" s="25">
        <v>0.14285714285714288</v>
      </c>
      <c r="L20" s="25">
        <v>0.19333333333333333</v>
      </c>
      <c r="M20" s="25">
        <v>2.2540983606557378E-2</v>
      </c>
    </row>
    <row r="21" spans="2:13" x14ac:dyDescent="0.15">
      <c r="B21" s="25"/>
      <c r="C21" s="25"/>
      <c r="D21" s="25">
        <v>0.66242038216560517</v>
      </c>
      <c r="E21" s="25"/>
      <c r="F21" s="25">
        <v>0.54054054054054046</v>
      </c>
      <c r="G21" s="25"/>
      <c r="H21" s="25"/>
      <c r="I21" s="25"/>
      <c r="J21" s="25"/>
      <c r="K21" s="25">
        <v>0.30898876404494385</v>
      </c>
      <c r="L21" s="25">
        <v>0.73899999999999999</v>
      </c>
      <c r="M21" s="25">
        <v>4.2895442359249331E-2</v>
      </c>
    </row>
    <row r="22" spans="2:13" x14ac:dyDescent="0.15">
      <c r="B22" s="25"/>
      <c r="C22" s="25"/>
      <c r="D22" s="25">
        <v>0.71527777777777779</v>
      </c>
      <c r="E22" s="25"/>
      <c r="F22" s="25">
        <v>0.47222222222222221</v>
      </c>
      <c r="G22" s="25"/>
      <c r="H22" s="25"/>
      <c r="I22" s="25"/>
      <c r="J22" s="25"/>
      <c r="K22" s="25">
        <v>0.3515151515151515</v>
      </c>
      <c r="L22" s="25">
        <v>1.7000000000000001E-2</v>
      </c>
      <c r="M22" s="25">
        <v>0.16080402010050251</v>
      </c>
    </row>
    <row r="23" spans="2:13" x14ac:dyDescent="0.15">
      <c r="B23" s="25"/>
      <c r="C23" s="25"/>
      <c r="D23" s="25">
        <v>0.34</v>
      </c>
      <c r="E23" s="25"/>
      <c r="F23" s="25">
        <v>0.61764705882352944</v>
      </c>
      <c r="G23" s="25"/>
      <c r="H23" s="25"/>
      <c r="I23" s="25"/>
      <c r="J23" s="25"/>
      <c r="K23" s="25">
        <v>0.21</v>
      </c>
      <c r="L23" s="25">
        <v>6.2E-2</v>
      </c>
      <c r="M23" s="25">
        <v>3.5550458715596325E-2</v>
      </c>
    </row>
    <row r="24" spans="2:13" x14ac:dyDescent="0.15">
      <c r="B24" s="25"/>
      <c r="C24" s="25"/>
      <c r="D24" s="25"/>
      <c r="E24" s="25"/>
      <c r="F24" s="25">
        <v>0.35294117647058826</v>
      </c>
      <c r="G24" s="25"/>
      <c r="H24" s="25"/>
      <c r="I24" s="25"/>
      <c r="J24" s="25"/>
      <c r="K24" s="25">
        <v>1.2999999999999999E-2</v>
      </c>
      <c r="L24" s="25"/>
      <c r="M24" s="25">
        <v>6.9306930693069313E-2</v>
      </c>
    </row>
    <row r="25" spans="2:13" x14ac:dyDescent="0.15">
      <c r="B25" s="25"/>
      <c r="C25" s="25"/>
      <c r="D25" s="25"/>
      <c r="E25" s="25"/>
      <c r="F25" s="25">
        <v>0.4390243902439025</v>
      </c>
      <c r="G25" s="25"/>
      <c r="H25" s="25"/>
      <c r="I25" s="25"/>
      <c r="J25" s="25"/>
      <c r="K25" s="25">
        <v>0.06</v>
      </c>
      <c r="L25" s="25"/>
      <c r="M25" s="25">
        <v>7.5418994413407825E-2</v>
      </c>
    </row>
    <row r="26" spans="2:13" x14ac:dyDescent="0.15">
      <c r="B26" s="25"/>
      <c r="C26" s="25"/>
      <c r="D26" s="25"/>
      <c r="E26" s="25"/>
      <c r="F26" s="25">
        <v>0.5</v>
      </c>
      <c r="G26" s="25"/>
      <c r="H26" s="25"/>
      <c r="I26" s="25"/>
      <c r="J26" s="25"/>
      <c r="K26" s="25"/>
      <c r="L26" s="25"/>
      <c r="M26" s="25">
        <v>1.9438444924406047E-2</v>
      </c>
    </row>
    <row r="27" spans="2:13" x14ac:dyDescent="0.15">
      <c r="B27" s="25"/>
      <c r="C27" s="25"/>
      <c r="D27" s="25"/>
      <c r="E27" s="25"/>
      <c r="F27" s="25">
        <v>0.48076923076923073</v>
      </c>
      <c r="G27" s="25"/>
      <c r="H27" s="25"/>
      <c r="I27" s="25"/>
      <c r="J27" s="25"/>
      <c r="K27" s="25"/>
      <c r="L27" s="25"/>
      <c r="M27" s="25">
        <v>0.10666666666666666</v>
      </c>
    </row>
    <row r="28" spans="2:13" x14ac:dyDescent="0.15">
      <c r="B28" s="25"/>
      <c r="C28" s="25"/>
      <c r="D28" s="25"/>
      <c r="E28" s="25"/>
      <c r="F28" s="25">
        <v>0.54794520547945202</v>
      </c>
      <c r="G28" s="25"/>
      <c r="H28" s="25"/>
      <c r="I28" s="25"/>
      <c r="J28" s="25"/>
      <c r="K28" s="25"/>
      <c r="L28" s="25"/>
      <c r="M28" s="25">
        <v>5.0739957716701894E-2</v>
      </c>
    </row>
    <row r="29" spans="2:13" x14ac:dyDescent="0.15">
      <c r="B29" s="25"/>
      <c r="C29" s="25"/>
      <c r="D29" s="25"/>
      <c r="E29" s="25"/>
      <c r="F29" s="25">
        <v>0.29378531073446329</v>
      </c>
      <c r="G29" s="25"/>
      <c r="H29" s="25"/>
      <c r="I29" s="25"/>
      <c r="J29" s="25"/>
      <c r="K29" s="25"/>
      <c r="L29" s="25"/>
      <c r="M29" s="25">
        <v>0.17073170731707316</v>
      </c>
    </row>
    <row r="30" spans="2:13" x14ac:dyDescent="0.15">
      <c r="B30" s="25"/>
      <c r="C30" s="25"/>
      <c r="D30" s="25"/>
      <c r="E30" s="25"/>
      <c r="F30" s="25">
        <v>0.85106382978723405</v>
      </c>
      <c r="G30" s="25"/>
      <c r="H30" s="25"/>
      <c r="I30" s="25"/>
      <c r="J30" s="25"/>
      <c r="K30" s="25"/>
      <c r="L30" s="25"/>
      <c r="M30" s="25">
        <v>7.9681274900398419E-2</v>
      </c>
    </row>
    <row r="31" spans="2:13" x14ac:dyDescent="0.15">
      <c r="B31" s="25"/>
      <c r="C31" s="25"/>
      <c r="D31" s="25"/>
      <c r="E31" s="25"/>
      <c r="F31" s="25">
        <v>0.55932203389830504</v>
      </c>
      <c r="G31" s="25"/>
      <c r="H31" s="25"/>
      <c r="I31" s="25"/>
      <c r="J31" s="25"/>
      <c r="K31" s="25"/>
      <c r="L31" s="25"/>
      <c r="M31" s="25">
        <v>0.11111111111111112</v>
      </c>
    </row>
    <row r="32" spans="2:13" x14ac:dyDescent="0.15">
      <c r="B32" s="25"/>
      <c r="C32" s="25"/>
      <c r="D32" s="25"/>
      <c r="E32" s="25"/>
      <c r="F32" s="25">
        <v>0.35245901639344263</v>
      </c>
      <c r="G32" s="25"/>
      <c r="H32" s="25"/>
      <c r="I32" s="25"/>
      <c r="J32" s="25"/>
      <c r="K32" s="25"/>
      <c r="L32" s="25"/>
      <c r="M32" s="25">
        <v>5.844155844155844E-2</v>
      </c>
    </row>
    <row r="33" spans="2:13" x14ac:dyDescent="0.15">
      <c r="B33" s="25"/>
      <c r="C33" s="25"/>
      <c r="D33" s="25"/>
      <c r="E33" s="25"/>
      <c r="F33" s="25">
        <v>0.64516129032258063</v>
      </c>
      <c r="G33" s="25"/>
      <c r="H33" s="25"/>
      <c r="I33" s="25"/>
      <c r="J33" s="25"/>
      <c r="K33" s="25"/>
      <c r="L33" s="25"/>
      <c r="M33" s="25">
        <v>6.746031746031747E-2</v>
      </c>
    </row>
    <row r="34" spans="2:13" x14ac:dyDescent="0.15">
      <c r="B34" s="25"/>
      <c r="C34" s="25"/>
      <c r="D34" s="25"/>
      <c r="E34" s="25"/>
      <c r="F34" s="25">
        <v>0.30434782608695654</v>
      </c>
      <c r="G34" s="25"/>
      <c r="H34" s="25"/>
      <c r="I34" s="25"/>
      <c r="J34" s="25"/>
      <c r="K34" s="25"/>
      <c r="L34" s="25"/>
      <c r="M34" s="25">
        <v>7.476635514018691E-2</v>
      </c>
    </row>
    <row r="35" spans="2:13" x14ac:dyDescent="0.15">
      <c r="B35" s="25"/>
      <c r="C35" s="25"/>
      <c r="D35" s="25"/>
      <c r="E35" s="25"/>
      <c r="F35" s="25">
        <v>0.4285714285714286</v>
      </c>
      <c r="G35" s="25"/>
      <c r="H35" s="25"/>
      <c r="I35" s="25"/>
      <c r="J35" s="25"/>
      <c r="K35" s="25"/>
      <c r="L35" s="25"/>
      <c r="M35" s="25">
        <v>2.7343750000000003E-2</v>
      </c>
    </row>
    <row r="36" spans="2:13" x14ac:dyDescent="0.15">
      <c r="B36" s="25"/>
      <c r="C36" s="25"/>
      <c r="D36" s="25"/>
      <c r="E36" s="25"/>
      <c r="F36" s="25">
        <v>0.42222222222222222</v>
      </c>
      <c r="G36" s="25"/>
      <c r="H36" s="25"/>
      <c r="I36" s="25"/>
      <c r="J36" s="25"/>
      <c r="K36" s="25"/>
      <c r="L36" s="25"/>
      <c r="M36" s="25">
        <v>0.2753872633390706</v>
      </c>
    </row>
    <row r="37" spans="2:13" x14ac:dyDescent="0.15">
      <c r="B37" s="25"/>
      <c r="C37" s="25"/>
      <c r="D37" s="25"/>
      <c r="E37" s="25"/>
      <c r="F37" s="25">
        <v>0.65384615384615385</v>
      </c>
      <c r="G37" s="25"/>
      <c r="H37" s="25"/>
      <c r="I37" s="25"/>
      <c r="J37" s="25"/>
      <c r="K37" s="25"/>
      <c r="L37" s="25"/>
      <c r="M37" s="25">
        <v>0.17226890756302521</v>
      </c>
    </row>
    <row r="38" spans="2:13" x14ac:dyDescent="0.15">
      <c r="B38" s="25"/>
      <c r="C38" s="25"/>
      <c r="D38" s="25"/>
      <c r="E38" s="25"/>
      <c r="F38" s="25">
        <v>0.63492063492063489</v>
      </c>
      <c r="G38" s="25"/>
      <c r="H38" s="25"/>
      <c r="I38" s="25"/>
      <c r="J38" s="25"/>
      <c r="K38" s="25"/>
      <c r="L38" s="25"/>
      <c r="M38" s="25">
        <v>0.15588235294117647</v>
      </c>
    </row>
    <row r="39" spans="2:13" x14ac:dyDescent="0.15">
      <c r="B39" s="25"/>
      <c r="C39" s="25"/>
      <c r="D39" s="25"/>
      <c r="E39" s="25"/>
      <c r="F39" s="25">
        <v>0.55172413793103448</v>
      </c>
      <c r="G39" s="25"/>
      <c r="H39" s="25"/>
      <c r="I39" s="25"/>
      <c r="J39" s="25"/>
      <c r="K39" s="25"/>
      <c r="L39" s="25"/>
      <c r="M39" s="25">
        <v>0.17857142857142858</v>
      </c>
    </row>
    <row r="40" spans="2:13" x14ac:dyDescent="0.15">
      <c r="B40" s="25"/>
      <c r="C40" s="25"/>
      <c r="D40" s="25"/>
      <c r="E40" s="25"/>
      <c r="F40" s="25">
        <v>0.70000000000000007</v>
      </c>
      <c r="G40" s="25"/>
      <c r="H40" s="25"/>
      <c r="I40" s="25"/>
      <c r="J40" s="25"/>
      <c r="K40" s="25"/>
      <c r="L40" s="25"/>
      <c r="M40" s="25">
        <v>0.1654676258992806</v>
      </c>
    </row>
    <row r="41" spans="2:13" x14ac:dyDescent="0.15">
      <c r="B41" s="25"/>
      <c r="C41" s="25"/>
      <c r="D41" s="25"/>
      <c r="E41" s="25"/>
      <c r="F41" s="25">
        <v>1.1499999999999999</v>
      </c>
      <c r="G41" s="25"/>
      <c r="H41" s="25"/>
      <c r="I41" s="25"/>
      <c r="J41" s="25"/>
      <c r="K41" s="25"/>
      <c r="L41" s="25"/>
      <c r="M41" s="25">
        <v>0.14744801512287334</v>
      </c>
    </row>
    <row r="42" spans="2:13" x14ac:dyDescent="0.15">
      <c r="B42" s="25"/>
      <c r="C42" s="25"/>
      <c r="D42" s="25"/>
      <c r="E42" s="25"/>
      <c r="F42" s="25">
        <v>0.30769230769230771</v>
      </c>
      <c r="G42" s="25"/>
      <c r="H42" s="25"/>
      <c r="I42" s="25"/>
      <c r="J42" s="25"/>
      <c r="K42" s="25"/>
      <c r="L42" s="25"/>
      <c r="M42" s="25">
        <v>0.1181702668360864</v>
      </c>
    </row>
    <row r="43" spans="2:13" x14ac:dyDescent="0.15">
      <c r="B43" s="25"/>
      <c r="C43" s="25"/>
      <c r="D43" s="25"/>
      <c r="E43" s="25"/>
      <c r="F43" s="25">
        <v>0.19685039370078741</v>
      </c>
      <c r="G43" s="25"/>
      <c r="H43" s="25"/>
      <c r="I43" s="25"/>
      <c r="J43" s="25"/>
      <c r="K43" s="25"/>
      <c r="L43" s="25"/>
      <c r="M43" s="25">
        <v>0.1900369003690037</v>
      </c>
    </row>
    <row r="44" spans="2:13" x14ac:dyDescent="0.15">
      <c r="B44" s="25"/>
      <c r="C44" s="25"/>
      <c r="D44" s="25"/>
      <c r="E44" s="25"/>
      <c r="F44" s="25">
        <v>0.66666666666666663</v>
      </c>
      <c r="G44" s="25"/>
      <c r="H44" s="25"/>
      <c r="I44" s="25"/>
      <c r="J44" s="25"/>
      <c r="K44" s="25"/>
      <c r="L44" s="25"/>
      <c r="M44" s="25">
        <v>0.13148148148148148</v>
      </c>
    </row>
    <row r="45" spans="2:13" x14ac:dyDescent="0.15">
      <c r="B45" s="25"/>
      <c r="C45" s="25"/>
      <c r="D45" s="25"/>
      <c r="E45" s="25"/>
      <c r="F45" s="25">
        <v>0.59374999999999989</v>
      </c>
      <c r="G45" s="25"/>
      <c r="H45" s="25"/>
      <c r="I45" s="25"/>
      <c r="J45" s="25"/>
      <c r="K45" s="25"/>
      <c r="L45" s="25"/>
      <c r="M45" s="25">
        <v>0.19771863117870725</v>
      </c>
    </row>
    <row r="46" spans="2:13" x14ac:dyDescent="0.15">
      <c r="B46" s="25"/>
      <c r="C46" s="25"/>
      <c r="D46" s="25"/>
      <c r="E46" s="25"/>
      <c r="F46" s="25">
        <v>0.51428571428571435</v>
      </c>
      <c r="G46" s="25"/>
      <c r="H46" s="25"/>
      <c r="I46" s="25"/>
      <c r="J46" s="25"/>
      <c r="K46" s="25"/>
      <c r="L46" s="25"/>
      <c r="M46" s="25">
        <v>0.11146496815286623</v>
      </c>
    </row>
    <row r="47" spans="2:13" x14ac:dyDescent="0.15">
      <c r="B47" s="25"/>
      <c r="C47" s="25"/>
      <c r="D47" s="25"/>
      <c r="E47" s="25"/>
      <c r="F47" s="25">
        <v>0.4285714285714286</v>
      </c>
      <c r="G47" s="25"/>
      <c r="H47" s="25"/>
      <c r="I47" s="25"/>
      <c r="J47" s="25"/>
      <c r="K47" s="25"/>
      <c r="L47" s="25"/>
      <c r="M47" s="25">
        <v>0.11406844106463879</v>
      </c>
    </row>
    <row r="48" spans="2:13" x14ac:dyDescent="0.15">
      <c r="B48" s="25"/>
      <c r="C48" s="25"/>
      <c r="D48" s="25"/>
      <c r="E48" s="25"/>
      <c r="F48" s="25">
        <v>0.6470588235294118</v>
      </c>
      <c r="G48" s="25"/>
      <c r="H48" s="25"/>
      <c r="I48" s="25"/>
      <c r="J48" s="25"/>
      <c r="K48" s="25"/>
      <c r="L48" s="25"/>
      <c r="M48" s="25">
        <v>0.15608465608465608</v>
      </c>
    </row>
    <row r="49" spans="2:13" x14ac:dyDescent="0.15">
      <c r="B49" s="25"/>
      <c r="C49" s="25"/>
      <c r="D49" s="25"/>
      <c r="E49" s="25"/>
      <c r="F49" s="25">
        <v>0.30158730158730157</v>
      </c>
      <c r="G49" s="25"/>
      <c r="H49" s="25"/>
      <c r="I49" s="25"/>
      <c r="J49" s="25"/>
      <c r="K49" s="25"/>
      <c r="L49" s="25"/>
      <c r="M49" s="25">
        <v>6.3683304647160072E-2</v>
      </c>
    </row>
    <row r="50" spans="2:13" x14ac:dyDescent="0.15">
      <c r="B50" s="25"/>
      <c r="C50" s="25"/>
      <c r="D50" s="25"/>
      <c r="E50" s="25"/>
      <c r="F50" s="26">
        <v>0.44</v>
      </c>
      <c r="G50" s="25"/>
      <c r="H50" s="25"/>
      <c r="I50" s="25"/>
      <c r="J50" s="25"/>
      <c r="K50" s="25"/>
      <c r="L50" s="25"/>
      <c r="M50" s="25">
        <v>0.16666666666666669</v>
      </c>
    </row>
    <row r="51" spans="2:13" x14ac:dyDescent="0.15">
      <c r="B51" s="25"/>
      <c r="C51" s="25"/>
      <c r="D51" s="25"/>
      <c r="E51" s="25"/>
      <c r="F51" s="26">
        <v>0.46100000000000002</v>
      </c>
      <c r="G51" s="25"/>
      <c r="H51" s="25"/>
      <c r="I51" s="25"/>
      <c r="J51" s="25"/>
      <c r="K51" s="25"/>
      <c r="L51" s="25"/>
      <c r="M51" s="25">
        <v>0.13555555555555554</v>
      </c>
    </row>
    <row r="52" spans="2:13" x14ac:dyDescent="0.15">
      <c r="B52" s="25"/>
      <c r="C52" s="25"/>
      <c r="D52" s="25"/>
      <c r="E52" s="25"/>
      <c r="F52" s="25">
        <v>0.26666666666666666</v>
      </c>
      <c r="G52" s="25"/>
      <c r="H52" s="25"/>
      <c r="I52" s="25"/>
      <c r="J52" s="25"/>
      <c r="K52" s="25"/>
      <c r="L52" s="25"/>
      <c r="M52" s="25">
        <v>0.10887949260042283</v>
      </c>
    </row>
    <row r="53" spans="2:13" x14ac:dyDescent="0.15">
      <c r="B53" s="25"/>
      <c r="C53" s="25"/>
      <c r="D53" s="25"/>
      <c r="E53" s="25"/>
      <c r="F53" s="25">
        <v>0.14285714285714285</v>
      </c>
      <c r="G53" s="25"/>
      <c r="H53" s="25"/>
      <c r="I53" s="25"/>
      <c r="J53" s="25"/>
      <c r="K53" s="25"/>
      <c r="L53" s="25"/>
      <c r="M53" s="25">
        <v>0.12240184757505775</v>
      </c>
    </row>
    <row r="54" spans="2:13" x14ac:dyDescent="0.15">
      <c r="B54" s="25"/>
      <c r="C54" s="25"/>
      <c r="D54" s="25"/>
      <c r="E54" s="25"/>
      <c r="F54" s="25">
        <v>0.57777777777777772</v>
      </c>
      <c r="G54" s="25"/>
      <c r="H54" s="25"/>
      <c r="I54" s="25"/>
      <c r="J54" s="25"/>
      <c r="K54" s="25"/>
      <c r="L54" s="25"/>
      <c r="M54" s="25">
        <v>8.7882822902796282E-2</v>
      </c>
    </row>
    <row r="55" spans="2:13" x14ac:dyDescent="0.15">
      <c r="B55" s="25"/>
      <c r="C55" s="25"/>
      <c r="D55" s="25"/>
      <c r="E55" s="25"/>
      <c r="F55" s="25">
        <v>0.61764705882352944</v>
      </c>
      <c r="G55" s="25"/>
      <c r="H55" s="25"/>
      <c r="I55" s="25"/>
      <c r="J55" s="25"/>
      <c r="K55" s="25"/>
      <c r="L55" s="25"/>
      <c r="M55" s="25">
        <v>0.21639344262295085</v>
      </c>
    </row>
    <row r="56" spans="2:13" x14ac:dyDescent="0.15">
      <c r="B56" s="25"/>
      <c r="C56" s="25"/>
      <c r="D56" s="25"/>
      <c r="E56" s="25"/>
      <c r="F56" s="25">
        <v>7.8E-2</v>
      </c>
      <c r="G56" s="25"/>
      <c r="H56" s="25"/>
      <c r="I56" s="25"/>
      <c r="J56" s="25"/>
      <c r="K56" s="25"/>
      <c r="L56" s="25"/>
      <c r="M56" s="25">
        <v>0.10224948875255624</v>
      </c>
    </row>
    <row r="57" spans="2:13" x14ac:dyDescent="0.15">
      <c r="B57" s="25"/>
      <c r="C57" s="25"/>
      <c r="D57" s="25"/>
      <c r="E57" s="25"/>
      <c r="F57" s="25">
        <v>0.122</v>
      </c>
      <c r="G57" s="25"/>
      <c r="H57" s="25"/>
      <c r="I57" s="25"/>
      <c r="J57" s="25"/>
      <c r="K57" s="25"/>
      <c r="L57" s="25"/>
      <c r="M57" s="25">
        <v>0.21628498727735368</v>
      </c>
    </row>
    <row r="58" spans="2:13" x14ac:dyDescent="0.15">
      <c r="B58" s="25"/>
      <c r="C58" s="25"/>
      <c r="D58" s="25"/>
      <c r="E58" s="25"/>
      <c r="F58" s="25">
        <v>9.1999999999999998E-2</v>
      </c>
      <c r="G58" s="25"/>
      <c r="H58" s="25"/>
      <c r="I58" s="25"/>
      <c r="J58" s="25"/>
      <c r="K58" s="25"/>
      <c r="L58" s="25"/>
      <c r="M58" s="25">
        <v>0.15369649805447472</v>
      </c>
    </row>
    <row r="59" spans="2:13" x14ac:dyDescent="0.15">
      <c r="B59" s="25"/>
      <c r="C59" s="25"/>
      <c r="D59" s="25"/>
      <c r="E59" s="25"/>
      <c r="F59" s="25">
        <v>0.11899999999999999</v>
      </c>
      <c r="G59" s="25"/>
      <c r="H59" s="25"/>
      <c r="I59" s="25"/>
      <c r="J59" s="25"/>
      <c r="K59" s="25"/>
      <c r="L59" s="25"/>
      <c r="M59" s="25">
        <v>9.7713097713097719E-2</v>
      </c>
    </row>
    <row r="60" spans="2:13" x14ac:dyDescent="0.15">
      <c r="B60" s="25" t="s">
        <v>16</v>
      </c>
      <c r="C60" s="25"/>
      <c r="D60" s="25"/>
      <c r="E60" s="25"/>
      <c r="F60" s="25">
        <v>0.08</v>
      </c>
      <c r="G60" s="25"/>
      <c r="H60" s="25"/>
      <c r="I60" s="25"/>
      <c r="J60" s="25"/>
      <c r="K60" s="25"/>
      <c r="L60" s="25"/>
      <c r="M60" s="25">
        <v>0.17251461988304093</v>
      </c>
    </row>
    <row r="61" spans="2:13" x14ac:dyDescent="0.15">
      <c r="B61" s="25" t="s">
        <v>15</v>
      </c>
      <c r="C61" s="25"/>
      <c r="D61" s="25"/>
      <c r="E61" s="25"/>
      <c r="F61" s="25">
        <v>9.2999999999999999E-2</v>
      </c>
      <c r="G61" s="25"/>
      <c r="H61" s="25"/>
      <c r="I61" s="25"/>
      <c r="J61" s="25"/>
      <c r="K61" s="25"/>
      <c r="L61" s="25"/>
      <c r="M61" s="25">
        <v>0.125</v>
      </c>
    </row>
    <row r="62" spans="2:13" x14ac:dyDescent="0.15">
      <c r="B62" s="25" t="s">
        <v>14</v>
      </c>
      <c r="C62" s="25"/>
      <c r="D62" s="25"/>
      <c r="E62" s="25"/>
      <c r="F62" s="25">
        <v>0.30399999999999999</v>
      </c>
      <c r="G62" s="25"/>
      <c r="H62" s="25"/>
      <c r="I62" s="25"/>
      <c r="J62" s="25"/>
      <c r="K62" s="25"/>
      <c r="L62" s="25"/>
      <c r="M62" s="26">
        <v>5.5E-2</v>
      </c>
    </row>
    <row r="63" spans="2:13" x14ac:dyDescent="0.15">
      <c r="B63" s="25" t="s">
        <v>13</v>
      </c>
      <c r="C63" s="25"/>
      <c r="D63" s="25"/>
      <c r="E63" s="25"/>
      <c r="F63" s="25">
        <v>0.19600000000000001</v>
      </c>
      <c r="G63" s="25"/>
      <c r="H63" s="25"/>
      <c r="I63" s="25"/>
      <c r="J63" s="25"/>
      <c r="K63" s="25"/>
      <c r="L63" s="25"/>
      <c r="M63" s="26">
        <v>9.7000000000000003E-2</v>
      </c>
    </row>
    <row r="64" spans="2:13" x14ac:dyDescent="0.15">
      <c r="B64" s="25" t="s">
        <v>7</v>
      </c>
      <c r="C64" s="25"/>
      <c r="D64" s="25"/>
      <c r="E64" s="25"/>
      <c r="F64" s="25">
        <v>0.122</v>
      </c>
      <c r="G64" s="25"/>
      <c r="H64" s="25"/>
      <c r="I64" s="25"/>
      <c r="J64" s="25"/>
      <c r="K64" s="25"/>
      <c r="L64" s="25"/>
      <c r="M64" s="25">
        <v>6.8493150684931517E-2</v>
      </c>
    </row>
    <row r="65" spans="2:13" x14ac:dyDescent="0.15">
      <c r="B65" s="25" t="s">
        <v>12</v>
      </c>
      <c r="C65" s="25"/>
      <c r="D65" s="25"/>
      <c r="E65" s="25"/>
      <c r="F65" s="25">
        <v>1.08</v>
      </c>
      <c r="G65" s="25"/>
      <c r="H65" s="25"/>
      <c r="I65" s="25"/>
      <c r="J65" s="25"/>
      <c r="K65" s="25"/>
      <c r="L65" s="25"/>
      <c r="M65" s="25">
        <v>3.5087719298245612E-2</v>
      </c>
    </row>
    <row r="66" spans="2:13" x14ac:dyDescent="0.15">
      <c r="B66" s="25" t="s">
        <v>27</v>
      </c>
      <c r="C66" s="25"/>
      <c r="D66" s="25"/>
      <c r="E66" s="25"/>
      <c r="F66" s="25">
        <v>1.78</v>
      </c>
      <c r="G66" s="25"/>
      <c r="H66" s="25"/>
      <c r="I66" s="25"/>
      <c r="J66" s="25"/>
      <c r="K66" s="25"/>
      <c r="L66" s="25"/>
      <c r="M66" s="25">
        <v>0.12087912087912088</v>
      </c>
    </row>
    <row r="67" spans="2:13" x14ac:dyDescent="0.15">
      <c r="B67" s="25" t="s">
        <v>128</v>
      </c>
      <c r="C67" s="25"/>
      <c r="D67" s="25"/>
      <c r="E67" s="25"/>
      <c r="F67" s="25">
        <v>0.56299999999999994</v>
      </c>
      <c r="G67" s="25"/>
      <c r="H67" s="25"/>
      <c r="I67" s="25"/>
      <c r="J67" s="25"/>
      <c r="K67" s="25"/>
      <c r="L67" s="25"/>
      <c r="M67" s="25">
        <v>0.14492753623188404</v>
      </c>
    </row>
    <row r="68" spans="2:13" x14ac:dyDescent="0.15">
      <c r="B68" s="25" t="s">
        <v>129</v>
      </c>
      <c r="C68" s="25"/>
      <c r="D68" s="25"/>
      <c r="E68" s="25"/>
      <c r="F68" s="25">
        <v>9.2999999999999999E-2</v>
      </c>
      <c r="G68" s="25"/>
      <c r="H68" s="25"/>
      <c r="I68" s="25"/>
      <c r="J68" s="25"/>
      <c r="K68" s="25"/>
      <c r="L68" s="25"/>
      <c r="M68" s="25">
        <v>0.33600000000000002</v>
      </c>
    </row>
    <row r="69" spans="2:13" x14ac:dyDescent="0.15">
      <c r="B69" s="25" t="s">
        <v>28</v>
      </c>
      <c r="C69" s="25"/>
      <c r="D69" s="25"/>
      <c r="E69" s="25"/>
      <c r="F69" s="25">
        <v>0.26250000000000001</v>
      </c>
      <c r="G69" s="25"/>
      <c r="H69" s="25"/>
      <c r="I69" s="25"/>
      <c r="J69" s="25"/>
      <c r="K69" s="25"/>
      <c r="L69" s="25"/>
      <c r="M69" s="25">
        <v>0.35</v>
      </c>
    </row>
    <row r="70" spans="2:13" x14ac:dyDescent="0.15">
      <c r="B70" s="25" t="s">
        <v>29</v>
      </c>
      <c r="C70" s="25"/>
      <c r="D70" s="25"/>
      <c r="E70" s="25"/>
      <c r="F70" s="25">
        <v>0.06</v>
      </c>
      <c r="G70" s="25"/>
      <c r="H70" s="25"/>
      <c r="I70" s="25"/>
      <c r="J70" s="25"/>
      <c r="K70" s="25"/>
      <c r="L70" s="25"/>
      <c r="M70" s="25">
        <v>0.158</v>
      </c>
    </row>
    <row r="71" spans="2:13" x14ac:dyDescent="0.15">
      <c r="B71" s="25" t="s">
        <v>9</v>
      </c>
      <c r="C71" s="25"/>
      <c r="D71" s="25"/>
      <c r="E71" s="25"/>
      <c r="F71" s="25">
        <v>7.8014184397163122E-2</v>
      </c>
      <c r="G71" s="25"/>
      <c r="H71" s="25"/>
      <c r="I71" s="25"/>
      <c r="J71" s="25"/>
      <c r="K71" s="25"/>
      <c r="L71" s="25"/>
      <c r="M71" s="25">
        <v>0.17100000000000001</v>
      </c>
    </row>
    <row r="72" spans="2:13" x14ac:dyDescent="0.15">
      <c r="B72" s="25"/>
      <c r="C72" s="25"/>
      <c r="D72" s="25"/>
      <c r="E72" s="25"/>
      <c r="F72" s="25">
        <v>0.12204724409448821</v>
      </c>
      <c r="G72" s="25"/>
      <c r="H72" s="25"/>
      <c r="I72" s="25"/>
      <c r="J72" s="25"/>
      <c r="K72" s="25"/>
      <c r="L72" s="25"/>
      <c r="M72" s="25">
        <v>0.1</v>
      </c>
    </row>
    <row r="73" spans="2:13" x14ac:dyDescent="0.15">
      <c r="B73" s="25"/>
      <c r="C73" s="25"/>
      <c r="D73" s="25"/>
      <c r="E73" s="25"/>
      <c r="F73" s="25">
        <v>0.33413461538461542</v>
      </c>
      <c r="G73" s="25"/>
      <c r="H73" s="25"/>
      <c r="I73" s="25"/>
      <c r="J73" s="25"/>
      <c r="K73" s="25"/>
      <c r="L73" s="25"/>
      <c r="M73" s="25">
        <v>0.13</v>
      </c>
    </row>
    <row r="74" spans="2:13" x14ac:dyDescent="0.15">
      <c r="B74" s="25"/>
      <c r="C74" s="25"/>
      <c r="D74" s="25"/>
      <c r="E74" s="25"/>
      <c r="F74" s="25">
        <v>2.1000000000000001E-2</v>
      </c>
      <c r="G74" s="25"/>
      <c r="H74" s="25"/>
      <c r="I74" s="25"/>
      <c r="J74" s="25"/>
      <c r="K74" s="25"/>
      <c r="L74" s="25"/>
      <c r="M74" s="25">
        <v>0.13100000000000001</v>
      </c>
    </row>
    <row r="75" spans="2:13" x14ac:dyDescent="0.1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>
        <v>0.10199999999999999</v>
      </c>
    </row>
    <row r="76" spans="2:13" x14ac:dyDescent="0.15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>
        <v>6.2399999999999997E-2</v>
      </c>
    </row>
    <row r="77" spans="2:13" x14ac:dyDescent="0.15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>
        <v>0.16500000000000001</v>
      </c>
    </row>
    <row r="78" spans="2:13" x14ac:dyDescent="0.15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>
        <v>0.17899999999999999</v>
      </c>
    </row>
    <row r="79" spans="2:13" x14ac:dyDescent="0.15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>
        <v>0.13100000000000001</v>
      </c>
    </row>
    <row r="80" spans="2:13" x14ac:dyDescent="0.15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>
        <v>5.5100000000000003E-2</v>
      </c>
    </row>
    <row r="81" spans="2:13" x14ac:dyDescent="0.15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>
        <v>0.30508474576271183</v>
      </c>
    </row>
    <row r="82" spans="2:13" x14ac:dyDescent="0.15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>
        <v>0.13300000000000001</v>
      </c>
    </row>
    <row r="83" spans="2:13" x14ac:dyDescent="0.15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>
        <v>2.1000000000000001E-2</v>
      </c>
    </row>
    <row r="84" spans="2:13" x14ac:dyDescent="0.15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>
        <v>0.16400000000000001</v>
      </c>
    </row>
    <row r="85" spans="2:13" x14ac:dyDescent="0.15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>
        <v>1.7999999999999999E-2</v>
      </c>
    </row>
  </sheetData>
  <mergeCells count="1">
    <mergeCell ref="B3:M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2"/>
  <sheetViews>
    <sheetView tabSelected="1" workbookViewId="0">
      <selection activeCell="L24" sqref="L24"/>
    </sheetView>
  </sheetViews>
  <sheetFormatPr defaultRowHeight="13.5" x14ac:dyDescent="0.15"/>
  <sheetData>
    <row r="2" spans="2:14" x14ac:dyDescent="0.15">
      <c r="B2" s="27" t="s">
        <v>130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2:14" x14ac:dyDescent="0.15">
      <c r="B3" s="10" t="s">
        <v>119</v>
      </c>
      <c r="C3" s="10" t="s">
        <v>120</v>
      </c>
      <c r="D3" s="10" t="s">
        <v>121</v>
      </c>
      <c r="E3" s="10" t="s">
        <v>122</v>
      </c>
      <c r="F3" s="10" t="s">
        <v>123</v>
      </c>
      <c r="G3" s="10" t="s">
        <v>124</v>
      </c>
      <c r="H3" s="10" t="s">
        <v>125</v>
      </c>
      <c r="I3" s="10" t="s">
        <v>126</v>
      </c>
      <c r="J3" s="10" t="s">
        <v>127</v>
      </c>
      <c r="K3" s="10" t="s">
        <v>119</v>
      </c>
      <c r="L3" s="10" t="s">
        <v>121</v>
      </c>
      <c r="M3" s="10" t="s">
        <v>122</v>
      </c>
      <c r="N3" s="10" t="s">
        <v>123</v>
      </c>
    </row>
    <row r="4" spans="2:14" x14ac:dyDescent="0.15">
      <c r="B4" s="10" t="s">
        <v>16</v>
      </c>
      <c r="C4" s="10" t="s">
        <v>15</v>
      </c>
      <c r="D4" s="10" t="s">
        <v>14</v>
      </c>
      <c r="E4" s="10" t="s">
        <v>13</v>
      </c>
      <c r="F4" s="10" t="s">
        <v>7</v>
      </c>
      <c r="G4" s="10" t="s">
        <v>12</v>
      </c>
      <c r="H4" s="10" t="s">
        <v>27</v>
      </c>
      <c r="I4" s="10" t="s">
        <v>128</v>
      </c>
      <c r="J4" s="10" t="s">
        <v>129</v>
      </c>
      <c r="K4" s="10" t="s">
        <v>28</v>
      </c>
      <c r="L4" s="10" t="s">
        <v>29</v>
      </c>
      <c r="M4" s="10" t="s">
        <v>131</v>
      </c>
      <c r="N4" s="10" t="s">
        <v>9</v>
      </c>
    </row>
    <row r="5" spans="2:14" x14ac:dyDescent="0.15">
      <c r="B5" s="10">
        <v>23.4</v>
      </c>
      <c r="C5" s="10">
        <v>8</v>
      </c>
      <c r="D5" s="10">
        <v>4.5999999999999996</v>
      </c>
      <c r="E5" s="10">
        <v>0.64</v>
      </c>
      <c r="F5" s="10">
        <v>0.86</v>
      </c>
      <c r="G5" s="10">
        <v>0.74</v>
      </c>
      <c r="H5" s="10">
        <v>0.34</v>
      </c>
      <c r="I5" s="10">
        <v>6.6000000000000003E-2</v>
      </c>
      <c r="J5" s="10">
        <v>4.2000000000000003E-2</v>
      </c>
      <c r="K5" s="10">
        <v>14.5</v>
      </c>
      <c r="L5" s="10">
        <v>1.08</v>
      </c>
      <c r="M5" s="10">
        <v>1.03</v>
      </c>
      <c r="N5" s="10">
        <v>0.32</v>
      </c>
    </row>
    <row r="6" spans="2:14" x14ac:dyDescent="0.15">
      <c r="B6" s="10">
        <v>33</v>
      </c>
      <c r="C6" s="10">
        <v>12.4</v>
      </c>
      <c r="D6" s="10">
        <v>11</v>
      </c>
      <c r="E6" s="10">
        <v>1.23</v>
      </c>
      <c r="F6" s="10">
        <v>1.43</v>
      </c>
      <c r="G6" s="10">
        <v>0.74</v>
      </c>
      <c r="H6" s="10">
        <v>0.52</v>
      </c>
      <c r="I6" s="10">
        <v>4.5999999999999999E-2</v>
      </c>
      <c r="J6" s="10">
        <v>0.03</v>
      </c>
      <c r="K6" s="10">
        <v>4.22</v>
      </c>
      <c r="L6" s="10">
        <v>7.56</v>
      </c>
      <c r="M6" s="10">
        <v>6.57</v>
      </c>
      <c r="N6" s="10">
        <v>1.67</v>
      </c>
    </row>
    <row r="7" spans="2:14" x14ac:dyDescent="0.15">
      <c r="B7" s="10">
        <v>17</v>
      </c>
      <c r="C7" s="10">
        <v>4.0999999999999996</v>
      </c>
      <c r="D7" s="10">
        <v>2.1</v>
      </c>
      <c r="E7" s="10">
        <v>2.41</v>
      </c>
      <c r="F7" s="10">
        <v>0.55000000000000004</v>
      </c>
      <c r="G7" s="10">
        <v>0.8</v>
      </c>
      <c r="H7" s="7">
        <v>0</v>
      </c>
      <c r="I7" s="10">
        <v>6.0999999999999999E-2</v>
      </c>
      <c r="J7" s="10">
        <v>0.04</v>
      </c>
      <c r="K7" s="10">
        <v>0.42</v>
      </c>
      <c r="L7" s="10">
        <v>0.5</v>
      </c>
      <c r="M7" s="7">
        <v>0</v>
      </c>
      <c r="N7" s="7">
        <v>0</v>
      </c>
    </row>
    <row r="8" spans="2:14" x14ac:dyDescent="0.15">
      <c r="B8" s="10">
        <v>8.6</v>
      </c>
      <c r="C8" s="10">
        <v>7.9</v>
      </c>
      <c r="D8" s="10">
        <v>2.8</v>
      </c>
      <c r="E8" s="10">
        <v>2.52</v>
      </c>
      <c r="F8" s="10">
        <v>0.39</v>
      </c>
      <c r="G8" s="10">
        <v>1.05</v>
      </c>
      <c r="H8" s="10">
        <v>7.5999999999999998E-2</v>
      </c>
      <c r="I8" s="10">
        <v>4.3999999999999997E-2</v>
      </c>
      <c r="J8" s="10">
        <v>2.8000000000000001E-2</v>
      </c>
      <c r="K8" s="10">
        <v>1.583</v>
      </c>
      <c r="L8" s="10">
        <v>0.17299999999999999</v>
      </c>
      <c r="M8" s="10"/>
      <c r="N8" s="10">
        <v>0.152</v>
      </c>
    </row>
    <row r="9" spans="2:14" x14ac:dyDescent="0.15">
      <c r="B9" s="10">
        <v>28.4</v>
      </c>
      <c r="C9" s="10">
        <v>10.199999999999999</v>
      </c>
      <c r="D9" s="10">
        <v>11.7</v>
      </c>
      <c r="E9" s="10">
        <v>3.33</v>
      </c>
      <c r="F9" s="10">
        <v>9.2999999999999999E-2</v>
      </c>
      <c r="G9" s="10">
        <v>0.77</v>
      </c>
      <c r="H9" s="10">
        <v>5.5E-2</v>
      </c>
      <c r="I9" s="10">
        <v>5.8000000000000003E-2</v>
      </c>
      <c r="J9" s="10">
        <v>3.5999999999999997E-2</v>
      </c>
      <c r="K9" s="10">
        <v>1.288</v>
      </c>
      <c r="L9" s="10">
        <v>0.14099999999999999</v>
      </c>
      <c r="M9" s="10"/>
      <c r="N9" s="10">
        <v>0.10100000000000001</v>
      </c>
    </row>
    <row r="10" spans="2:14" x14ac:dyDescent="0.15">
      <c r="B10" s="10">
        <v>56.8</v>
      </c>
      <c r="C10" s="10">
        <v>20.399999999999999</v>
      </c>
      <c r="D10" s="10">
        <v>9.9</v>
      </c>
      <c r="E10" s="10">
        <v>2.66</v>
      </c>
      <c r="F10" s="10">
        <v>8.8999999999999996E-2</v>
      </c>
      <c r="G10" s="10">
        <v>2.85</v>
      </c>
      <c r="H10" s="10">
        <v>7.0000000000000007E-2</v>
      </c>
      <c r="I10" s="10">
        <v>0.04</v>
      </c>
      <c r="J10" s="10">
        <v>2.5999999999999999E-2</v>
      </c>
      <c r="K10" s="10">
        <v>1.4059999999999999</v>
      </c>
      <c r="L10" s="10">
        <v>0.16600000000000001</v>
      </c>
      <c r="M10" s="10"/>
      <c r="N10" s="10">
        <v>0.129</v>
      </c>
    </row>
    <row r="11" spans="2:14" x14ac:dyDescent="0.15">
      <c r="B11" s="10">
        <v>12.2</v>
      </c>
      <c r="C11" s="10">
        <v>17.100000000000001</v>
      </c>
      <c r="D11" s="10">
        <v>2.9</v>
      </c>
      <c r="E11" s="10">
        <v>0.86</v>
      </c>
      <c r="F11" s="10">
        <v>1.34</v>
      </c>
      <c r="G11" s="7">
        <v>0</v>
      </c>
      <c r="H11" s="10">
        <v>5.3999999999999999E-2</v>
      </c>
      <c r="I11" s="10"/>
      <c r="J11" s="10"/>
      <c r="K11" s="10">
        <v>1.1839999999999999</v>
      </c>
      <c r="L11" s="10">
        <v>0.122</v>
      </c>
      <c r="M11" s="10"/>
      <c r="N11" s="10">
        <v>7.8E-2</v>
      </c>
    </row>
    <row r="12" spans="2:14" x14ac:dyDescent="0.15">
      <c r="B12" s="10">
        <v>1560</v>
      </c>
      <c r="C12" s="10">
        <v>1.9219999999999999</v>
      </c>
      <c r="D12" s="10">
        <v>0.64800000000000002</v>
      </c>
      <c r="E12" s="10">
        <v>0.16900000000000001</v>
      </c>
      <c r="F12" s="10">
        <v>2.52</v>
      </c>
      <c r="G12" s="10">
        <v>8.5999999999999993E-2</v>
      </c>
      <c r="H12" s="10">
        <v>6.3E-2</v>
      </c>
      <c r="I12" s="10"/>
      <c r="J12" s="10"/>
      <c r="K12" s="10">
        <v>1.05</v>
      </c>
      <c r="L12" s="10">
        <v>0.14799999999999999</v>
      </c>
      <c r="M12" s="10"/>
      <c r="N12" s="10">
        <v>0.10299999999999999</v>
      </c>
    </row>
    <row r="13" spans="2:14" x14ac:dyDescent="0.15">
      <c r="B13" s="10">
        <v>3390</v>
      </c>
      <c r="C13" s="10">
        <v>2.1190000000000002</v>
      </c>
      <c r="D13" s="10">
        <v>0.77400000000000002</v>
      </c>
      <c r="E13" s="10">
        <v>0.24099999999999999</v>
      </c>
      <c r="F13" s="10">
        <v>0.11</v>
      </c>
      <c r="G13" s="10">
        <v>7.4999999999999997E-2</v>
      </c>
      <c r="H13" s="10">
        <v>4.5999999999999999E-2</v>
      </c>
      <c r="I13" s="10"/>
      <c r="J13" s="10"/>
      <c r="K13" s="10">
        <v>0.89900000000000002</v>
      </c>
      <c r="L13" s="10">
        <v>0.11899999999999999</v>
      </c>
      <c r="M13" s="10"/>
      <c r="N13" s="10">
        <v>7.0999999999999994E-2</v>
      </c>
    </row>
    <row r="14" spans="2:14" x14ac:dyDescent="0.15">
      <c r="B14" s="10">
        <v>767</v>
      </c>
      <c r="C14" s="10">
        <v>1.5740000000000001</v>
      </c>
      <c r="D14" s="10">
        <v>0.59899999999999998</v>
      </c>
      <c r="E14" s="10">
        <v>0.127</v>
      </c>
      <c r="F14" s="10">
        <v>0.113</v>
      </c>
      <c r="G14" s="10">
        <v>8.2000000000000003E-2</v>
      </c>
      <c r="H14" s="10"/>
      <c r="I14" s="10"/>
      <c r="J14" s="10"/>
      <c r="K14" s="10">
        <v>102</v>
      </c>
      <c r="L14" s="10">
        <v>46.2</v>
      </c>
      <c r="M14" s="10"/>
      <c r="N14" s="10">
        <v>6.49</v>
      </c>
    </row>
    <row r="15" spans="2:14" x14ac:dyDescent="0.15">
      <c r="B15" s="10"/>
      <c r="C15" s="10">
        <v>1.7030000000000001</v>
      </c>
      <c r="D15" s="10">
        <v>0.68799999999999994</v>
      </c>
      <c r="E15" s="10">
        <v>0.218</v>
      </c>
      <c r="F15" s="10">
        <v>0.16500000000000001</v>
      </c>
      <c r="G15" s="10">
        <v>0.06</v>
      </c>
      <c r="H15" s="10"/>
      <c r="I15" s="10"/>
      <c r="J15" s="10"/>
      <c r="K15" s="10">
        <v>316</v>
      </c>
      <c r="L15" s="10">
        <v>17.7</v>
      </c>
      <c r="M15" s="10"/>
      <c r="N15" s="10">
        <v>4.8099999999999996</v>
      </c>
    </row>
    <row r="16" spans="2:14" x14ac:dyDescent="0.15">
      <c r="B16" s="10"/>
      <c r="C16" s="10">
        <v>0.98799999999999999</v>
      </c>
      <c r="D16" s="10">
        <v>0.56499999999999995</v>
      </c>
      <c r="E16" s="10">
        <v>0.105</v>
      </c>
      <c r="F16" s="10">
        <v>8.5999999999999993E-2</v>
      </c>
      <c r="G16" s="10">
        <v>6.5000000000000002E-2</v>
      </c>
      <c r="H16" s="10"/>
      <c r="I16" s="10"/>
      <c r="J16" s="10"/>
      <c r="K16" s="10">
        <v>58.3</v>
      </c>
      <c r="L16" s="10">
        <v>3.52</v>
      </c>
      <c r="M16" s="10"/>
      <c r="N16" s="10">
        <v>0.75900000000000001</v>
      </c>
    </row>
    <row r="17" spans="2:14" x14ac:dyDescent="0.15">
      <c r="B17" s="10"/>
      <c r="C17" s="10">
        <v>1.165</v>
      </c>
      <c r="D17" s="10">
        <v>0.629</v>
      </c>
      <c r="E17" s="10">
        <v>0.2</v>
      </c>
      <c r="F17" s="10">
        <v>0.113</v>
      </c>
      <c r="G17" s="10">
        <v>5.1999999999999998E-2</v>
      </c>
      <c r="H17" s="10"/>
      <c r="I17" s="10"/>
      <c r="J17" s="10"/>
      <c r="K17" s="10"/>
      <c r="L17" s="10"/>
      <c r="M17" s="10"/>
      <c r="N17" s="10"/>
    </row>
    <row r="18" spans="2:14" x14ac:dyDescent="0.15">
      <c r="B18" s="10"/>
      <c r="C18" s="10">
        <v>819</v>
      </c>
      <c r="D18" s="10">
        <v>415</v>
      </c>
      <c r="E18" s="10">
        <v>122</v>
      </c>
      <c r="F18" s="10">
        <v>6.9000000000000006E-2</v>
      </c>
      <c r="G18" s="10">
        <v>11.5</v>
      </c>
      <c r="H18" s="10"/>
      <c r="I18" s="10"/>
      <c r="J18" s="10"/>
      <c r="K18" s="10"/>
      <c r="L18" s="10"/>
      <c r="M18" s="10"/>
      <c r="N18" s="10"/>
    </row>
    <row r="19" spans="2:14" x14ac:dyDescent="0.15">
      <c r="B19" s="10"/>
      <c r="C19" s="10">
        <v>1300</v>
      </c>
      <c r="D19" s="10">
        <v>321</v>
      </c>
      <c r="E19" s="10">
        <v>34.700000000000003</v>
      </c>
      <c r="F19" s="10">
        <v>0.108</v>
      </c>
      <c r="G19" s="10">
        <v>1.65</v>
      </c>
      <c r="H19" s="10"/>
      <c r="I19" s="10"/>
      <c r="J19" s="10"/>
      <c r="K19" s="10"/>
      <c r="L19" s="10"/>
      <c r="M19" s="10"/>
      <c r="N19" s="10"/>
    </row>
    <row r="20" spans="2:14" x14ac:dyDescent="0.15">
      <c r="B20" s="10"/>
      <c r="C20" s="10">
        <v>314</v>
      </c>
      <c r="D20" s="10">
        <v>71.8</v>
      </c>
      <c r="E20" s="10">
        <v>7.26</v>
      </c>
      <c r="F20" s="10">
        <v>34.9</v>
      </c>
      <c r="G20" s="10">
        <v>0.93799999999999994</v>
      </c>
      <c r="H20" s="10"/>
      <c r="I20" s="10"/>
      <c r="J20" s="10"/>
      <c r="K20" s="10"/>
      <c r="L20" s="10"/>
      <c r="M20" s="10"/>
      <c r="N20" s="10"/>
    </row>
    <row r="21" spans="2:14" x14ac:dyDescent="0.15">
      <c r="B21" s="10"/>
      <c r="C21" s="10"/>
      <c r="D21" s="10"/>
      <c r="E21" s="10"/>
      <c r="F21" s="10">
        <v>4.3</v>
      </c>
      <c r="G21" s="10"/>
      <c r="H21" s="10"/>
      <c r="I21" s="10"/>
      <c r="J21" s="10"/>
      <c r="K21" s="10"/>
      <c r="L21" s="10"/>
      <c r="M21" s="10"/>
      <c r="N21" s="10"/>
    </row>
    <row r="22" spans="2:14" x14ac:dyDescent="0.15">
      <c r="B22" s="10"/>
      <c r="C22" s="10"/>
      <c r="D22" s="10"/>
      <c r="E22" s="10"/>
      <c r="F22" s="10">
        <v>1.18</v>
      </c>
      <c r="G22" s="10"/>
      <c r="H22" s="10"/>
      <c r="I22" s="10"/>
      <c r="J22" s="10"/>
      <c r="K22" s="10"/>
      <c r="L22" s="10"/>
      <c r="M22" s="10"/>
      <c r="N22" s="10"/>
    </row>
  </sheetData>
  <mergeCells count="1">
    <mergeCell ref="B2:N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pot study</vt:lpstr>
      <vt:lpstr>hydroponic study</vt:lpstr>
      <vt:lpstr>TF</vt:lpstr>
      <vt:lpstr>BCF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2020-06-15T20:36:50Z</dcterms:modified>
</cp:coreProperties>
</file>