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TF" sheetId="1" r:id="rId1"/>
    <sheet name="BCF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55" i="2" l="1"/>
  <c r="N55" i="2"/>
  <c r="M56" i="2"/>
  <c r="N56" i="2"/>
  <c r="M57" i="2"/>
  <c r="N57" i="2"/>
  <c r="M58" i="2"/>
  <c r="N58" i="2"/>
  <c r="M59" i="2"/>
  <c r="N59" i="2"/>
  <c r="M60" i="2"/>
  <c r="N60" i="2"/>
  <c r="M61" i="2"/>
  <c r="N61" i="2"/>
  <c r="M62" i="2"/>
  <c r="N62" i="2"/>
  <c r="M63" i="2"/>
  <c r="N63" i="2"/>
  <c r="M64" i="2"/>
  <c r="N64" i="2"/>
  <c r="M65" i="2"/>
  <c r="N65" i="2"/>
  <c r="M66" i="2"/>
  <c r="L61" i="2"/>
  <c r="L62" i="2"/>
  <c r="L63" i="2"/>
  <c r="L64" i="2"/>
  <c r="L65" i="2"/>
  <c r="L66" i="2"/>
  <c r="L55" i="2"/>
  <c r="L56" i="2"/>
  <c r="L57" i="2"/>
  <c r="L58" i="2"/>
  <c r="L59" i="2"/>
  <c r="L60" i="2"/>
  <c r="J55" i="2"/>
  <c r="K55" i="2"/>
  <c r="J56" i="2"/>
  <c r="K56" i="2"/>
  <c r="J57" i="2"/>
  <c r="K57" i="2"/>
  <c r="J58" i="2"/>
  <c r="K58" i="2"/>
  <c r="J59" i="2"/>
  <c r="K59" i="2"/>
  <c r="J60" i="2"/>
  <c r="K60" i="2"/>
  <c r="I56" i="2"/>
  <c r="I57" i="2"/>
  <c r="I58" i="2"/>
  <c r="I59" i="2"/>
  <c r="I60" i="2"/>
  <c r="I61" i="2"/>
  <c r="I62" i="2"/>
  <c r="I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F55" i="2"/>
  <c r="E55" i="2"/>
  <c r="C56" i="2"/>
  <c r="C57" i="2"/>
  <c r="C58" i="2"/>
  <c r="C59" i="2"/>
  <c r="C60" i="2"/>
  <c r="C61" i="2"/>
  <c r="C62" i="2"/>
  <c r="C63" i="2"/>
  <c r="C64" i="2"/>
  <c r="C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55" i="2"/>
</calcChain>
</file>

<file path=xl/sharedStrings.xml><?xml version="1.0" encoding="utf-8"?>
<sst xmlns="http://schemas.openxmlformats.org/spreadsheetml/2006/main" count="88" uniqueCount="25">
  <si>
    <t>PFBA</t>
  </si>
  <si>
    <t>PFPeA</t>
  </si>
  <si>
    <t>PFHxA</t>
  </si>
  <si>
    <t>PFHpA</t>
  </si>
  <si>
    <t>PFOA</t>
  </si>
  <si>
    <t>PFNA</t>
  </si>
  <si>
    <t>PFDA</t>
  </si>
  <si>
    <t>PFBS</t>
  </si>
  <si>
    <t>PFHxS</t>
  </si>
  <si>
    <t>PFOS</t>
  </si>
  <si>
    <t>PFUnDA</t>
    <phoneticPr fontId="1" type="noConversion"/>
  </si>
  <si>
    <t>PFDoDA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</si>
  <si>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</si>
  <si>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</si>
  <si>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</si>
  <si>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C7</t>
    <phoneticPr fontId="1" type="noConversion"/>
  </si>
  <si>
    <t>C8</t>
    <phoneticPr fontId="1" type="noConversion"/>
  </si>
  <si>
    <t>C9</t>
    <phoneticPr fontId="1" type="noConversion"/>
  </si>
  <si>
    <t>C10</t>
    <phoneticPr fontId="1" type="noConversion"/>
  </si>
  <si>
    <t>C11</t>
    <phoneticPr fontId="1" type="noConversion"/>
  </si>
  <si>
    <t>C12</t>
    <phoneticPr fontId="1" type="noConversion"/>
  </si>
  <si>
    <t>C7</t>
    <phoneticPr fontId="1" type="noConversion"/>
  </si>
  <si>
    <t>PFHpS</t>
    <phoneticPr fontId="1" type="noConversion"/>
  </si>
  <si>
    <t>BCF</t>
    <phoneticPr fontId="1" type="noConversion"/>
  </si>
  <si>
    <t>TF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</si>
</sst>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/>
    <xf numFmtId="0" fontId="3" fillId="0" borderId="0" xfId="0" applyFont="1" applyAlignment="1">
      <alignment horizontal="left"/>
    </xf>
    <xf numFmtId="176" fontId="0" fillId="0" borderId="0" xfId="0" applyNumberFormat="1" applyFill="1" applyAlignment="1">
      <alignment horizontal="center"/>
    </xf>
    <xf numFmtId="176" fontId="2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4"/>
  <sheetViews>
    <sheetView tabSelected="1" topLeftCell="D61" workbookViewId="0">
      <selection activeCell="H18" sqref="H18"/>
    </sheetView>
  </sheetViews>
  <sheetFormatPr defaultRowHeight="13.5" x14ac:dyDescent="0.15"/>
  <cols>
    <col min="1" max="1" width="9" style="2"/>
    <col min="2" max="2" width="19.125" style="2" customWidth="1"/>
    <col min="3" max="3" width="19" style="2" customWidth="1"/>
    <col min="4" max="4" width="15.125" style="2" customWidth="1"/>
    <col min="5" max="5" width="15.375" style="2" customWidth="1"/>
    <col min="6" max="6" width="14.75" style="2" customWidth="1"/>
    <col min="7" max="7" width="15.625" style="2" customWidth="1"/>
    <col min="8" max="10" width="15.125" style="2" customWidth="1"/>
    <col min="11" max="12" width="13.875" style="2" customWidth="1"/>
    <col min="13" max="13" width="13.25" style="2" bestFit="1" customWidth="1"/>
    <col min="14" max="16384" width="9" style="2"/>
  </cols>
  <sheetData>
    <row r="2" spans="2:14" x14ac:dyDescent="0.15">
      <c r="B2" s="8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2:14" x14ac:dyDescent="0.15"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12</v>
      </c>
      <c r="L3" s="2" t="s">
        <v>14</v>
      </c>
      <c r="M3" s="2" t="s">
        <v>16</v>
      </c>
    </row>
    <row r="4" spans="2:14" x14ac:dyDescent="0.15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10</v>
      </c>
      <c r="J4" s="2" t="s">
        <v>11</v>
      </c>
      <c r="K4" s="2" t="s">
        <v>7</v>
      </c>
      <c r="L4" s="2" t="s">
        <v>8</v>
      </c>
      <c r="M4" s="2" t="s">
        <v>9</v>
      </c>
    </row>
    <row r="5" spans="2:14" x14ac:dyDescent="0.15">
      <c r="B5" s="6">
        <v>4.7328767123287676</v>
      </c>
      <c r="C5" s="6">
        <v>4.3789473684210529</v>
      </c>
      <c r="D5" s="6">
        <v>3.3565217391304349</v>
      </c>
      <c r="E5" s="6">
        <v>6.875</v>
      </c>
      <c r="F5" s="6">
        <v>8.9411764705882355</v>
      </c>
      <c r="G5" s="6">
        <v>4.0227272727272725</v>
      </c>
      <c r="H5" s="6">
        <v>2.5</v>
      </c>
      <c r="I5" s="6">
        <v>7.1999999999999995E-2</v>
      </c>
      <c r="J5" s="6">
        <v>0.11</v>
      </c>
      <c r="K5" s="6">
        <v>2.6614173228346454</v>
      </c>
      <c r="L5" s="6">
        <v>3.6390243902439026</v>
      </c>
      <c r="M5" s="6">
        <v>5.3428571428571434</v>
      </c>
      <c r="N5" s="6"/>
    </row>
    <row r="6" spans="2:14" x14ac:dyDescent="0.15">
      <c r="B6" s="6">
        <v>2.8656629994209615</v>
      </c>
      <c r="C6" s="6">
        <v>3.3359375000000004</v>
      </c>
      <c r="D6" s="6">
        <v>2.4968553459119498</v>
      </c>
      <c r="E6" s="6">
        <v>0.84797297297297292</v>
      </c>
      <c r="F6" s="6">
        <v>0.5</v>
      </c>
      <c r="G6" s="6">
        <v>0.36315789473684207</v>
      </c>
      <c r="H6" s="6">
        <v>0.30188679245283018</v>
      </c>
      <c r="I6" s="6">
        <v>0.151</v>
      </c>
      <c r="J6" s="6">
        <v>0.159</v>
      </c>
      <c r="K6" s="6">
        <v>0.87698412698412698</v>
      </c>
      <c r="L6" s="6">
        <v>0.46385542168674698</v>
      </c>
      <c r="M6" s="6">
        <v>0.32938388625592419</v>
      </c>
      <c r="N6" s="6"/>
    </row>
    <row r="7" spans="2:14" x14ac:dyDescent="0.15">
      <c r="B7" s="6">
        <v>5.1646825396825395</v>
      </c>
      <c r="C7" s="6">
        <v>11.276315789473685</v>
      </c>
      <c r="D7" s="6">
        <v>6.1586206896551721</v>
      </c>
      <c r="E7" s="6">
        <v>2.0159574468085109</v>
      </c>
      <c r="F7" s="6">
        <v>2.5208333333333335</v>
      </c>
      <c r="G7" s="6">
        <v>1.2239583333333335</v>
      </c>
      <c r="H7" s="6">
        <v>0.77297297297297285</v>
      </c>
      <c r="I7" s="6">
        <v>4.5999999999999999E-2</v>
      </c>
      <c r="J7" s="6">
        <v>6.5000000000000002E-2</v>
      </c>
      <c r="K7" s="6">
        <v>5.140845070422535</v>
      </c>
      <c r="L7" s="6">
        <v>3.1999999999999997</v>
      </c>
      <c r="M7" s="6">
        <v>0.9359823399558499</v>
      </c>
      <c r="N7" s="6"/>
    </row>
    <row r="8" spans="2:14" x14ac:dyDescent="0.15">
      <c r="B8" s="6">
        <v>5.6424870466321249</v>
      </c>
      <c r="C8" s="6">
        <v>8.6923076923076916</v>
      </c>
      <c r="D8" s="6">
        <v>3.3269230769230766</v>
      </c>
      <c r="E8" s="6">
        <v>0.80645161290322576</v>
      </c>
      <c r="F8" s="6">
        <v>0.65822784810126578</v>
      </c>
      <c r="G8" s="6">
        <v>0.25730994152046782</v>
      </c>
      <c r="H8" s="6">
        <v>0.1048951048951049</v>
      </c>
      <c r="I8" s="6">
        <v>0.12</v>
      </c>
      <c r="J8" s="6">
        <v>0.17599999999999999</v>
      </c>
      <c r="K8" s="6">
        <v>4.6292134831460672</v>
      </c>
      <c r="L8" s="7">
        <v>1.04</v>
      </c>
      <c r="M8" s="6">
        <v>0.51882845188284521</v>
      </c>
      <c r="N8" s="6"/>
    </row>
    <row r="9" spans="2:14" x14ac:dyDescent="0.15">
      <c r="B9" s="7">
        <v>11.9</v>
      </c>
      <c r="C9" s="6">
        <v>0.57999999999999996</v>
      </c>
      <c r="D9" s="7">
        <v>2.6</v>
      </c>
      <c r="E9" s="6">
        <v>0.38700000000000001</v>
      </c>
      <c r="F9" s="6">
        <v>0.59523809523809523</v>
      </c>
      <c r="G9" s="6">
        <v>8.4000000000000005E-2</v>
      </c>
      <c r="H9" s="6">
        <v>6.8000000000000005E-2</v>
      </c>
      <c r="I9" s="6">
        <v>3.5999999999999997E-2</v>
      </c>
      <c r="J9" s="6">
        <v>5.7000000000000002E-2</v>
      </c>
      <c r="K9" s="7">
        <v>4.51</v>
      </c>
      <c r="L9" s="7">
        <v>1.28</v>
      </c>
      <c r="M9" s="6">
        <v>0.22589531680440772</v>
      </c>
      <c r="N9" s="6"/>
    </row>
    <row r="10" spans="2:14" x14ac:dyDescent="0.15">
      <c r="B10" s="7">
        <v>11.1</v>
      </c>
      <c r="C10" s="6">
        <v>0.50900000000000001</v>
      </c>
      <c r="D10" s="7">
        <v>1.9</v>
      </c>
      <c r="E10" s="6">
        <v>0.34100000000000003</v>
      </c>
      <c r="F10" s="6">
        <v>0.59374999999999989</v>
      </c>
      <c r="G10" s="6">
        <v>0.223</v>
      </c>
      <c r="H10" s="6">
        <v>0.126</v>
      </c>
      <c r="I10" s="6">
        <v>7.1999999999999995E-2</v>
      </c>
      <c r="J10" s="6">
        <v>0.112</v>
      </c>
      <c r="K10" s="7">
        <v>1.86</v>
      </c>
      <c r="L10" s="6">
        <v>0.29699999999999999</v>
      </c>
      <c r="M10" s="6">
        <v>0.10401459854014597</v>
      </c>
      <c r="N10" s="6"/>
    </row>
    <row r="11" spans="2:14" x14ac:dyDescent="0.15">
      <c r="B11" s="6">
        <v>0.31419529837251359</v>
      </c>
      <c r="C11" s="6">
        <v>0.47899999999999998</v>
      </c>
      <c r="D11" s="6">
        <v>1.6</v>
      </c>
      <c r="E11" s="6">
        <v>0.436</v>
      </c>
      <c r="F11" s="6">
        <v>0.83544303797468344</v>
      </c>
      <c r="G11" s="6">
        <v>6.6000000000000003E-2</v>
      </c>
      <c r="H11" s="6">
        <v>4.7E-2</v>
      </c>
      <c r="I11" s="6">
        <v>1.6666666666666666E-2</v>
      </c>
      <c r="J11" s="6">
        <v>1.2E-2</v>
      </c>
      <c r="K11" s="6">
        <v>0.128</v>
      </c>
      <c r="L11" s="6">
        <v>0.35799999999999998</v>
      </c>
      <c r="M11" s="6">
        <v>0.10344827586206898</v>
      </c>
      <c r="N11" s="6"/>
    </row>
    <row r="12" spans="2:14" x14ac:dyDescent="0.15">
      <c r="B12" s="6">
        <v>2.1238938053097347</v>
      </c>
      <c r="C12" s="6">
        <v>0.39300000000000002</v>
      </c>
      <c r="D12" s="6">
        <v>0.60399999999999998</v>
      </c>
      <c r="E12" s="6">
        <v>0.39600000000000002</v>
      </c>
      <c r="F12" s="6">
        <v>0.47407407407407409</v>
      </c>
      <c r="G12" s="6">
        <v>0.11700000000000001</v>
      </c>
      <c r="H12" s="6">
        <v>0.115</v>
      </c>
      <c r="I12" s="6">
        <v>8.9999999999999993E-3</v>
      </c>
      <c r="J12" s="6">
        <v>5.4545454545454541E-3</v>
      </c>
      <c r="K12" s="6">
        <v>0.13900000000000001</v>
      </c>
      <c r="L12" s="6">
        <v>0.22</v>
      </c>
      <c r="M12" s="6">
        <v>0.18032786885245902</v>
      </c>
      <c r="N12" s="6"/>
    </row>
    <row r="13" spans="2:14" x14ac:dyDescent="0.15">
      <c r="B13" s="6">
        <v>1.7083333333333333</v>
      </c>
      <c r="C13" s="6">
        <v>0.57699999999999996</v>
      </c>
      <c r="D13" s="6">
        <v>1.7</v>
      </c>
      <c r="E13" s="6">
        <v>0.433</v>
      </c>
      <c r="F13" s="6">
        <v>0.44736842105263158</v>
      </c>
      <c r="G13" s="6">
        <v>5.2999999999999999E-2</v>
      </c>
      <c r="H13" s="6">
        <v>3.3000000000000002E-2</v>
      </c>
      <c r="I13" s="6">
        <v>7.3033707865168543E-3</v>
      </c>
      <c r="J13" s="6">
        <v>9.2771084337349395E-3</v>
      </c>
      <c r="K13" s="6">
        <v>0.16300000000000001</v>
      </c>
      <c r="L13" s="6">
        <v>0.28299999999999997</v>
      </c>
      <c r="M13" s="6">
        <v>0.20560747663551401</v>
      </c>
      <c r="N13" s="6"/>
    </row>
    <row r="14" spans="2:14" x14ac:dyDescent="0.15">
      <c r="B14" s="6">
        <v>2.4223602484472049</v>
      </c>
      <c r="C14" s="6">
        <v>0.39300000000000002</v>
      </c>
      <c r="D14" s="6">
        <v>0.74099999999999999</v>
      </c>
      <c r="E14" s="6">
        <v>0.40400000000000003</v>
      </c>
      <c r="F14" s="6">
        <v>0.83870967741935487</v>
      </c>
      <c r="G14" s="6">
        <v>9.0999999999999998E-2</v>
      </c>
      <c r="H14" s="6">
        <v>7.0000000000000007E-2</v>
      </c>
      <c r="I14" s="6">
        <v>1.5483870967741937E-2</v>
      </c>
      <c r="J14" s="6">
        <v>3.4482758620689648E-2</v>
      </c>
      <c r="K14" s="6">
        <v>0.13600000000000001</v>
      </c>
      <c r="L14" s="6">
        <v>0.378</v>
      </c>
      <c r="M14" s="6">
        <v>7.5435203094777567E-2</v>
      </c>
      <c r="N14" s="6"/>
    </row>
    <row r="15" spans="2:14" x14ac:dyDescent="0.15">
      <c r="B15" s="6">
        <v>2.6666666666666665</v>
      </c>
      <c r="C15" s="6">
        <v>0.30837438423645319</v>
      </c>
      <c r="D15" s="6">
        <v>1.91</v>
      </c>
      <c r="E15" s="6">
        <v>0.24460431654676257</v>
      </c>
      <c r="F15" s="6">
        <v>0.36231884057971014</v>
      </c>
      <c r="G15" s="6">
        <v>0.31666666666666665</v>
      </c>
      <c r="H15" s="6">
        <v>0.26315789473684209</v>
      </c>
      <c r="I15" s="6"/>
      <c r="J15" s="6"/>
      <c r="K15" s="6">
        <v>0.13500000000000001</v>
      </c>
      <c r="L15" s="6">
        <v>0.28599999999999998</v>
      </c>
      <c r="M15" s="6">
        <v>4.7087980173482029E-2</v>
      </c>
      <c r="N15" s="6"/>
    </row>
    <row r="16" spans="2:14" x14ac:dyDescent="0.15">
      <c r="B16" s="6">
        <v>1.1000000000000001</v>
      </c>
      <c r="C16" s="6">
        <v>0.75</v>
      </c>
      <c r="D16" s="6">
        <v>0.98</v>
      </c>
      <c r="E16" s="6">
        <v>0.17647058823529413</v>
      </c>
      <c r="F16" s="6">
        <v>0.30097087378640774</v>
      </c>
      <c r="G16" s="6">
        <v>3.1578947368421054E-2</v>
      </c>
      <c r="H16" s="6">
        <v>2.3809523809523808E-2</v>
      </c>
      <c r="I16" s="6"/>
      <c r="J16" s="6"/>
      <c r="K16" s="6">
        <v>0.14000000000000001</v>
      </c>
      <c r="L16" s="6">
        <v>6.08695652173913E-2</v>
      </c>
      <c r="M16" s="6">
        <v>9.2909535452322736E-2</v>
      </c>
      <c r="N16" s="6"/>
    </row>
    <row r="17" spans="2:14" x14ac:dyDescent="0.15">
      <c r="B17" s="6"/>
      <c r="C17" s="6">
        <v>0.92307692307692302</v>
      </c>
      <c r="D17" s="6">
        <v>0.26358695652173914</v>
      </c>
      <c r="E17" s="6">
        <v>0.19148936170212769</v>
      </c>
      <c r="F17" s="6">
        <v>0.90624999999999989</v>
      </c>
      <c r="G17" s="6">
        <v>3.1578947368421054E-2</v>
      </c>
      <c r="H17" s="6">
        <v>1.5853658536585366E-2</v>
      </c>
      <c r="I17" s="6"/>
      <c r="J17" s="6"/>
      <c r="K17" s="6">
        <v>0.28899637243047155</v>
      </c>
      <c r="L17" s="6">
        <v>6.1728395061728399E-2</v>
      </c>
      <c r="M17" s="6">
        <v>2.5016903313049357E-2</v>
      </c>
      <c r="N17" s="6"/>
    </row>
    <row r="18" spans="2:14" x14ac:dyDescent="0.15">
      <c r="B18" s="6"/>
      <c r="C18" s="6">
        <v>1.429787234042553</v>
      </c>
      <c r="D18" s="6">
        <v>0.18571428571428569</v>
      </c>
      <c r="E18" s="6">
        <v>0.3</v>
      </c>
      <c r="F18" s="6">
        <v>0.56521739130434789</v>
      </c>
      <c r="G18" s="6">
        <v>4.2888888888888886E-2</v>
      </c>
      <c r="H18" s="6">
        <v>1.5503875968992248E-2</v>
      </c>
      <c r="I18" s="6"/>
      <c r="J18" s="6"/>
      <c r="K18" s="6">
        <v>0.23076923076923075</v>
      </c>
      <c r="L18" s="6">
        <v>7.9710144927536225E-2</v>
      </c>
      <c r="M18" s="6">
        <v>7.9069767441860478E-2</v>
      </c>
      <c r="N18" s="6"/>
    </row>
    <row r="19" spans="2:14" x14ac:dyDescent="0.15">
      <c r="B19" s="6"/>
      <c r="C19" s="6">
        <v>1.4473684210526314</v>
      </c>
      <c r="D19" s="6">
        <v>0.33333333333333337</v>
      </c>
      <c r="E19" s="6">
        <v>0.51933701657458564</v>
      </c>
      <c r="F19" s="6">
        <v>0.54761904761904756</v>
      </c>
      <c r="G19" s="6">
        <v>0.14319999999999999</v>
      </c>
      <c r="H19" s="6">
        <v>4.4444444444444446E-2</v>
      </c>
      <c r="I19" s="6"/>
      <c r="J19" s="6"/>
      <c r="K19" s="6">
        <v>0.14285714285714288</v>
      </c>
      <c r="L19" s="6">
        <v>0.19333333333333333</v>
      </c>
      <c r="M19" s="6">
        <v>2.2540983606557378E-2</v>
      </c>
      <c r="N19" s="6"/>
    </row>
    <row r="20" spans="2:14" x14ac:dyDescent="0.15">
      <c r="B20" s="6"/>
      <c r="C20" s="6"/>
      <c r="D20" s="6">
        <v>0.66242038216560517</v>
      </c>
      <c r="E20" s="6"/>
      <c r="F20" s="6">
        <v>0.54054054054054046</v>
      </c>
      <c r="G20" s="6"/>
      <c r="H20" s="6"/>
      <c r="I20" s="6"/>
      <c r="J20" s="6"/>
      <c r="K20" s="6">
        <v>0.30898876404494385</v>
      </c>
      <c r="L20" s="6">
        <v>0.73899999999999999</v>
      </c>
      <c r="M20" s="6">
        <v>4.2895442359249331E-2</v>
      </c>
      <c r="N20" s="6"/>
    </row>
    <row r="21" spans="2:14" x14ac:dyDescent="0.15">
      <c r="B21" s="6"/>
      <c r="C21" s="6"/>
      <c r="D21" s="6">
        <v>0.71527777777777779</v>
      </c>
      <c r="E21" s="6"/>
      <c r="F21" s="6">
        <v>0.47222222222222221</v>
      </c>
      <c r="G21" s="6"/>
      <c r="H21" s="6"/>
      <c r="I21" s="6"/>
      <c r="J21" s="6"/>
      <c r="K21" s="6">
        <v>0.3515151515151515</v>
      </c>
      <c r="L21" s="6">
        <v>1.7000000000000001E-2</v>
      </c>
      <c r="M21" s="6">
        <v>0.16080402010050251</v>
      </c>
      <c r="N21" s="6"/>
    </row>
    <row r="22" spans="2:14" x14ac:dyDescent="0.15">
      <c r="B22" s="6"/>
      <c r="C22" s="6"/>
      <c r="D22" s="6">
        <v>0.34</v>
      </c>
      <c r="E22" s="6"/>
      <c r="F22" s="6">
        <v>0.61764705882352944</v>
      </c>
      <c r="G22" s="6"/>
      <c r="H22" s="6"/>
      <c r="I22" s="6"/>
      <c r="J22" s="6"/>
      <c r="K22" s="6">
        <v>0.21</v>
      </c>
      <c r="L22" s="6">
        <v>6.2E-2</v>
      </c>
      <c r="M22" s="6">
        <v>3.5550458715596325E-2</v>
      </c>
      <c r="N22" s="6"/>
    </row>
    <row r="23" spans="2:14" x14ac:dyDescent="0.15">
      <c r="B23" s="6"/>
      <c r="C23" s="6"/>
      <c r="D23" s="6"/>
      <c r="E23" s="6"/>
      <c r="F23" s="6">
        <v>0.35294117647058826</v>
      </c>
      <c r="G23" s="6"/>
      <c r="H23" s="6"/>
      <c r="I23" s="6"/>
      <c r="J23" s="6"/>
      <c r="K23" s="6">
        <v>1.2999999999999999E-2</v>
      </c>
      <c r="L23" s="6"/>
      <c r="M23" s="6">
        <v>6.9306930693069313E-2</v>
      </c>
      <c r="N23" s="6"/>
    </row>
    <row r="24" spans="2:14" x14ac:dyDescent="0.15">
      <c r="B24" s="6"/>
      <c r="C24" s="6"/>
      <c r="D24" s="6"/>
      <c r="E24" s="6"/>
      <c r="F24" s="6">
        <v>0.4390243902439025</v>
      </c>
      <c r="G24" s="6"/>
      <c r="H24" s="6"/>
      <c r="I24" s="6"/>
      <c r="J24" s="6"/>
      <c r="K24" s="6">
        <v>0.06</v>
      </c>
      <c r="L24" s="6"/>
      <c r="M24" s="6">
        <v>7.5418994413407825E-2</v>
      </c>
      <c r="N24" s="6"/>
    </row>
    <row r="25" spans="2:14" x14ac:dyDescent="0.15">
      <c r="B25" s="6"/>
      <c r="C25" s="6"/>
      <c r="D25" s="6"/>
      <c r="E25" s="6"/>
      <c r="F25" s="6">
        <v>0.5</v>
      </c>
      <c r="G25" s="6"/>
      <c r="H25" s="6"/>
      <c r="I25" s="6"/>
      <c r="J25" s="6"/>
      <c r="K25" s="6"/>
      <c r="L25" s="6"/>
      <c r="M25" s="6">
        <v>1.9438444924406047E-2</v>
      </c>
      <c r="N25" s="6"/>
    </row>
    <row r="26" spans="2:14" x14ac:dyDescent="0.15">
      <c r="B26" s="6"/>
      <c r="C26" s="6"/>
      <c r="D26" s="6"/>
      <c r="E26" s="6"/>
      <c r="F26" s="6">
        <v>0.48076923076923073</v>
      </c>
      <c r="G26" s="6"/>
      <c r="H26" s="6"/>
      <c r="I26" s="6"/>
      <c r="J26" s="6"/>
      <c r="K26" s="6"/>
      <c r="L26" s="6"/>
      <c r="M26" s="6">
        <v>0.10666666666666666</v>
      </c>
      <c r="N26" s="6"/>
    </row>
    <row r="27" spans="2:14" x14ac:dyDescent="0.15">
      <c r="B27" s="6"/>
      <c r="C27" s="6"/>
      <c r="D27" s="6"/>
      <c r="E27" s="6"/>
      <c r="F27" s="6">
        <v>0.54794520547945202</v>
      </c>
      <c r="G27" s="6"/>
      <c r="H27" s="6"/>
      <c r="I27" s="6"/>
      <c r="J27" s="6"/>
      <c r="K27" s="6"/>
      <c r="L27" s="6"/>
      <c r="M27" s="6">
        <v>5.0739957716701894E-2</v>
      </c>
      <c r="N27" s="6"/>
    </row>
    <row r="28" spans="2:14" x14ac:dyDescent="0.15">
      <c r="B28" s="6"/>
      <c r="C28" s="6"/>
      <c r="D28" s="6"/>
      <c r="E28" s="6"/>
      <c r="F28" s="6">
        <v>0.29378531073446329</v>
      </c>
      <c r="G28" s="6"/>
      <c r="H28" s="6"/>
      <c r="I28" s="6"/>
      <c r="J28" s="6"/>
      <c r="K28" s="6"/>
      <c r="L28" s="6"/>
      <c r="M28" s="6">
        <v>0.17073170731707316</v>
      </c>
      <c r="N28" s="6"/>
    </row>
    <row r="29" spans="2:14" x14ac:dyDescent="0.15">
      <c r="B29" s="6"/>
      <c r="C29" s="6"/>
      <c r="D29" s="6"/>
      <c r="E29" s="6"/>
      <c r="F29" s="6">
        <v>0.85106382978723405</v>
      </c>
      <c r="G29" s="6"/>
      <c r="H29" s="6"/>
      <c r="I29" s="6"/>
      <c r="J29" s="6"/>
      <c r="K29" s="6"/>
      <c r="L29" s="6"/>
      <c r="M29" s="6">
        <v>7.9681274900398419E-2</v>
      </c>
      <c r="N29" s="6"/>
    </row>
    <row r="30" spans="2:14" x14ac:dyDescent="0.15">
      <c r="B30" s="6"/>
      <c r="C30" s="6"/>
      <c r="D30" s="6"/>
      <c r="E30" s="6"/>
      <c r="F30" s="6">
        <v>0.55932203389830504</v>
      </c>
      <c r="G30" s="6"/>
      <c r="H30" s="6"/>
      <c r="I30" s="6"/>
      <c r="J30" s="6"/>
      <c r="K30" s="6"/>
      <c r="L30" s="6"/>
      <c r="M30" s="6">
        <v>0.11111111111111112</v>
      </c>
      <c r="N30" s="6"/>
    </row>
    <row r="31" spans="2:14" x14ac:dyDescent="0.15">
      <c r="B31" s="6"/>
      <c r="C31" s="6"/>
      <c r="D31" s="6"/>
      <c r="E31" s="6"/>
      <c r="F31" s="6">
        <v>0.35245901639344263</v>
      </c>
      <c r="G31" s="6"/>
      <c r="H31" s="6"/>
      <c r="I31" s="6"/>
      <c r="J31" s="6"/>
      <c r="K31" s="6"/>
      <c r="L31" s="6"/>
      <c r="M31" s="6">
        <v>5.844155844155844E-2</v>
      </c>
      <c r="N31" s="6"/>
    </row>
    <row r="32" spans="2:14" x14ac:dyDescent="0.15">
      <c r="B32" s="6"/>
      <c r="C32" s="6"/>
      <c r="D32" s="6"/>
      <c r="E32" s="6"/>
      <c r="F32" s="6">
        <v>0.64516129032258063</v>
      </c>
      <c r="G32" s="6"/>
      <c r="H32" s="6"/>
      <c r="I32" s="6"/>
      <c r="J32" s="6"/>
      <c r="K32" s="6"/>
      <c r="L32" s="6"/>
      <c r="M32" s="6">
        <v>6.746031746031747E-2</v>
      </c>
      <c r="N32" s="6"/>
    </row>
    <row r="33" spans="2:14" x14ac:dyDescent="0.15">
      <c r="B33" s="6"/>
      <c r="C33" s="6"/>
      <c r="D33" s="6"/>
      <c r="E33" s="6"/>
      <c r="F33" s="6">
        <v>0.30434782608695654</v>
      </c>
      <c r="G33" s="6"/>
      <c r="H33" s="6"/>
      <c r="I33" s="6"/>
      <c r="J33" s="6"/>
      <c r="K33" s="6"/>
      <c r="L33" s="6"/>
      <c r="M33" s="6">
        <v>7.476635514018691E-2</v>
      </c>
      <c r="N33" s="6"/>
    </row>
    <row r="34" spans="2:14" x14ac:dyDescent="0.15">
      <c r="B34" s="6"/>
      <c r="C34" s="6"/>
      <c r="D34" s="6"/>
      <c r="E34" s="6"/>
      <c r="F34" s="6">
        <v>0.4285714285714286</v>
      </c>
      <c r="G34" s="6"/>
      <c r="H34" s="6"/>
      <c r="I34" s="6"/>
      <c r="J34" s="6"/>
      <c r="K34" s="6"/>
      <c r="L34" s="6"/>
      <c r="M34" s="6">
        <v>2.7343750000000003E-2</v>
      </c>
      <c r="N34" s="6"/>
    </row>
    <row r="35" spans="2:14" x14ac:dyDescent="0.15">
      <c r="B35" s="6"/>
      <c r="C35" s="6"/>
      <c r="D35" s="6"/>
      <c r="E35" s="6"/>
      <c r="F35" s="6">
        <v>0.42222222222222222</v>
      </c>
      <c r="G35" s="6"/>
      <c r="H35" s="6"/>
      <c r="I35" s="6"/>
      <c r="J35" s="6"/>
      <c r="K35" s="6"/>
      <c r="L35" s="6"/>
      <c r="M35" s="6">
        <v>0.2753872633390706</v>
      </c>
      <c r="N35" s="6"/>
    </row>
    <row r="36" spans="2:14" x14ac:dyDescent="0.15">
      <c r="B36" s="6"/>
      <c r="C36" s="6"/>
      <c r="D36" s="6"/>
      <c r="E36" s="6"/>
      <c r="F36" s="6">
        <v>0.65384615384615385</v>
      </c>
      <c r="G36" s="6"/>
      <c r="H36" s="6"/>
      <c r="I36" s="6"/>
      <c r="J36" s="6"/>
      <c r="K36" s="6"/>
      <c r="L36" s="6"/>
      <c r="M36" s="6">
        <v>0.17226890756302521</v>
      </c>
      <c r="N36" s="6"/>
    </row>
    <row r="37" spans="2:14" x14ac:dyDescent="0.15">
      <c r="B37" s="6"/>
      <c r="C37" s="6"/>
      <c r="D37" s="6"/>
      <c r="E37" s="6"/>
      <c r="F37" s="6">
        <v>0.63492063492063489</v>
      </c>
      <c r="G37" s="6"/>
      <c r="H37" s="6"/>
      <c r="I37" s="6"/>
      <c r="J37" s="6"/>
      <c r="K37" s="6"/>
      <c r="L37" s="6"/>
      <c r="M37" s="6">
        <v>0.15588235294117647</v>
      </c>
      <c r="N37" s="6"/>
    </row>
    <row r="38" spans="2:14" x14ac:dyDescent="0.15">
      <c r="B38" s="6"/>
      <c r="C38" s="6"/>
      <c r="D38" s="6"/>
      <c r="E38" s="6"/>
      <c r="F38" s="6">
        <v>0.55172413793103448</v>
      </c>
      <c r="G38" s="6"/>
      <c r="H38" s="6"/>
      <c r="I38" s="6"/>
      <c r="J38" s="6"/>
      <c r="K38" s="6"/>
      <c r="L38" s="6"/>
      <c r="M38" s="6">
        <v>0.17857142857142858</v>
      </c>
      <c r="N38" s="6"/>
    </row>
    <row r="39" spans="2:14" x14ac:dyDescent="0.15">
      <c r="B39" s="6"/>
      <c r="C39" s="6"/>
      <c r="D39" s="6"/>
      <c r="E39" s="6"/>
      <c r="F39" s="6">
        <v>0.70000000000000007</v>
      </c>
      <c r="G39" s="6"/>
      <c r="H39" s="6"/>
      <c r="I39" s="6"/>
      <c r="J39" s="6"/>
      <c r="K39" s="6"/>
      <c r="L39" s="6"/>
      <c r="M39" s="6">
        <v>0.1654676258992806</v>
      </c>
      <c r="N39" s="6"/>
    </row>
    <row r="40" spans="2:14" x14ac:dyDescent="0.15">
      <c r="B40" s="6"/>
      <c r="C40" s="6"/>
      <c r="D40" s="6"/>
      <c r="E40" s="6"/>
      <c r="F40" s="6">
        <v>1.1499999999999999</v>
      </c>
      <c r="G40" s="6"/>
      <c r="H40" s="6"/>
      <c r="I40" s="6"/>
      <c r="J40" s="6"/>
      <c r="K40" s="6"/>
      <c r="L40" s="6"/>
      <c r="M40" s="6">
        <v>0.14744801512287334</v>
      </c>
      <c r="N40" s="6"/>
    </row>
    <row r="41" spans="2:14" x14ac:dyDescent="0.15">
      <c r="B41" s="6"/>
      <c r="C41" s="6"/>
      <c r="D41" s="6"/>
      <c r="E41" s="6"/>
      <c r="F41" s="6">
        <v>0.30769230769230771</v>
      </c>
      <c r="G41" s="6"/>
      <c r="H41" s="6"/>
      <c r="I41" s="6"/>
      <c r="J41" s="6"/>
      <c r="K41" s="6"/>
      <c r="L41" s="6"/>
      <c r="M41" s="6">
        <v>0.1181702668360864</v>
      </c>
      <c r="N41" s="6"/>
    </row>
    <row r="42" spans="2:14" x14ac:dyDescent="0.15">
      <c r="B42" s="6"/>
      <c r="C42" s="6"/>
      <c r="D42" s="6"/>
      <c r="E42" s="6"/>
      <c r="F42" s="6">
        <v>0.19685039370078741</v>
      </c>
      <c r="G42" s="6"/>
      <c r="H42" s="6"/>
      <c r="I42" s="6"/>
      <c r="J42" s="6"/>
      <c r="K42" s="6"/>
      <c r="L42" s="6"/>
      <c r="M42" s="6">
        <v>0.1900369003690037</v>
      </c>
      <c r="N42" s="6"/>
    </row>
    <row r="43" spans="2:14" x14ac:dyDescent="0.15">
      <c r="B43" s="6"/>
      <c r="C43" s="6"/>
      <c r="D43" s="6"/>
      <c r="E43" s="6"/>
      <c r="F43" s="6">
        <v>0.66666666666666663</v>
      </c>
      <c r="G43" s="6"/>
      <c r="H43" s="6"/>
      <c r="I43" s="6"/>
      <c r="J43" s="6"/>
      <c r="K43" s="6"/>
      <c r="L43" s="6"/>
      <c r="M43" s="6">
        <v>0.13148148148148148</v>
      </c>
      <c r="N43" s="6"/>
    </row>
    <row r="44" spans="2:14" x14ac:dyDescent="0.15">
      <c r="B44" s="6"/>
      <c r="C44" s="6"/>
      <c r="D44" s="6"/>
      <c r="E44" s="6"/>
      <c r="F44" s="6">
        <v>0.59374999999999989</v>
      </c>
      <c r="G44" s="6"/>
      <c r="H44" s="6"/>
      <c r="I44" s="6"/>
      <c r="J44" s="6"/>
      <c r="K44" s="6"/>
      <c r="L44" s="6"/>
      <c r="M44" s="6">
        <v>0.19771863117870725</v>
      </c>
      <c r="N44" s="6"/>
    </row>
    <row r="45" spans="2:14" x14ac:dyDescent="0.15">
      <c r="B45" s="6"/>
      <c r="C45" s="6"/>
      <c r="D45" s="6"/>
      <c r="E45" s="6"/>
      <c r="F45" s="6">
        <v>0.51428571428571435</v>
      </c>
      <c r="G45" s="6"/>
      <c r="H45" s="6"/>
      <c r="I45" s="6"/>
      <c r="J45" s="6"/>
      <c r="K45" s="6"/>
      <c r="L45" s="6"/>
      <c r="M45" s="6">
        <v>0.11146496815286623</v>
      </c>
      <c r="N45" s="6"/>
    </row>
    <row r="46" spans="2:14" x14ac:dyDescent="0.15">
      <c r="B46" s="6"/>
      <c r="C46" s="6"/>
      <c r="D46" s="6"/>
      <c r="E46" s="6"/>
      <c r="F46" s="6">
        <v>0.4285714285714286</v>
      </c>
      <c r="G46" s="6"/>
      <c r="H46" s="6"/>
      <c r="I46" s="6"/>
      <c r="J46" s="6"/>
      <c r="K46" s="6"/>
      <c r="L46" s="6"/>
      <c r="M46" s="6">
        <v>0.11406844106463879</v>
      </c>
      <c r="N46" s="6"/>
    </row>
    <row r="47" spans="2:14" x14ac:dyDescent="0.15">
      <c r="B47" s="6"/>
      <c r="C47" s="6"/>
      <c r="D47" s="6"/>
      <c r="E47" s="6"/>
      <c r="F47" s="6">
        <v>0.6470588235294118</v>
      </c>
      <c r="G47" s="6"/>
      <c r="H47" s="6"/>
      <c r="I47" s="6"/>
      <c r="J47" s="6"/>
      <c r="K47" s="6"/>
      <c r="L47" s="6"/>
      <c r="M47" s="6">
        <v>0.15608465608465608</v>
      </c>
      <c r="N47" s="6"/>
    </row>
    <row r="48" spans="2:14" x14ac:dyDescent="0.15">
      <c r="B48" s="6"/>
      <c r="C48" s="6"/>
      <c r="D48" s="6"/>
      <c r="E48" s="6"/>
      <c r="F48" s="6">
        <v>0.30158730158730157</v>
      </c>
      <c r="G48" s="6"/>
      <c r="H48" s="6"/>
      <c r="I48" s="6"/>
      <c r="J48" s="6"/>
      <c r="K48" s="6"/>
      <c r="L48" s="6"/>
      <c r="M48" s="6">
        <v>6.3683304647160072E-2</v>
      </c>
      <c r="N48" s="6"/>
    </row>
    <row r="49" spans="2:14" x14ac:dyDescent="0.15">
      <c r="B49" s="6"/>
      <c r="C49" s="6"/>
      <c r="D49" s="6"/>
      <c r="E49" s="6"/>
      <c r="F49" s="7">
        <v>0.44</v>
      </c>
      <c r="G49" s="6"/>
      <c r="H49" s="6"/>
      <c r="I49" s="6"/>
      <c r="J49" s="6"/>
      <c r="K49" s="6"/>
      <c r="L49" s="6"/>
      <c r="M49" s="6">
        <v>0.16666666666666669</v>
      </c>
      <c r="N49" s="6"/>
    </row>
    <row r="50" spans="2:14" x14ac:dyDescent="0.15">
      <c r="B50" s="6"/>
      <c r="C50" s="6"/>
      <c r="D50" s="6"/>
      <c r="E50" s="6"/>
      <c r="F50" s="7">
        <v>0.46100000000000002</v>
      </c>
      <c r="G50" s="6"/>
      <c r="H50" s="6"/>
      <c r="I50" s="6"/>
      <c r="J50" s="6"/>
      <c r="K50" s="6"/>
      <c r="L50" s="6"/>
      <c r="M50" s="6">
        <v>0.13555555555555554</v>
      </c>
      <c r="N50" s="6"/>
    </row>
    <row r="51" spans="2:14" x14ac:dyDescent="0.15">
      <c r="B51" s="6"/>
      <c r="C51" s="6"/>
      <c r="D51" s="6"/>
      <c r="E51" s="6"/>
      <c r="F51" s="6">
        <v>0.26666666666666666</v>
      </c>
      <c r="G51" s="6"/>
      <c r="H51" s="6"/>
      <c r="I51" s="6"/>
      <c r="J51" s="6"/>
      <c r="K51" s="6"/>
      <c r="L51" s="6"/>
      <c r="M51" s="6">
        <v>0.10887949260042283</v>
      </c>
      <c r="N51" s="6"/>
    </row>
    <row r="52" spans="2:14" x14ac:dyDescent="0.15">
      <c r="B52" s="6"/>
      <c r="C52" s="6"/>
      <c r="D52" s="6"/>
      <c r="E52" s="6"/>
      <c r="F52" s="6">
        <v>0.14285714285714285</v>
      </c>
      <c r="G52" s="6"/>
      <c r="H52" s="6"/>
      <c r="I52" s="6"/>
      <c r="J52" s="6"/>
      <c r="K52" s="6"/>
      <c r="L52" s="6"/>
      <c r="M52" s="6">
        <v>0.12240184757505775</v>
      </c>
      <c r="N52" s="6"/>
    </row>
    <row r="53" spans="2:14" x14ac:dyDescent="0.15">
      <c r="B53" s="6"/>
      <c r="C53" s="6"/>
      <c r="D53" s="6"/>
      <c r="E53" s="6"/>
      <c r="F53" s="6">
        <v>0.57777777777777772</v>
      </c>
      <c r="G53" s="6"/>
      <c r="H53" s="6"/>
      <c r="I53" s="6"/>
      <c r="J53" s="6"/>
      <c r="K53" s="6"/>
      <c r="L53" s="6"/>
      <c r="M53" s="6">
        <v>8.7882822902796282E-2</v>
      </c>
      <c r="N53" s="6"/>
    </row>
    <row r="54" spans="2:14" x14ac:dyDescent="0.15">
      <c r="B54" s="6"/>
      <c r="C54" s="6"/>
      <c r="D54" s="6"/>
      <c r="E54" s="6"/>
      <c r="F54" s="6">
        <v>0.61764705882352944</v>
      </c>
      <c r="G54" s="6"/>
      <c r="H54" s="6"/>
      <c r="I54" s="6"/>
      <c r="J54" s="6"/>
      <c r="K54" s="6"/>
      <c r="L54" s="6"/>
      <c r="M54" s="6">
        <v>0.21639344262295085</v>
      </c>
      <c r="N54" s="6"/>
    </row>
    <row r="55" spans="2:14" x14ac:dyDescent="0.15">
      <c r="B55" s="6"/>
      <c r="C55" s="6"/>
      <c r="D55" s="6"/>
      <c r="E55" s="6"/>
      <c r="F55" s="6">
        <v>7.8E-2</v>
      </c>
      <c r="G55" s="6"/>
      <c r="H55" s="6"/>
      <c r="I55" s="6"/>
      <c r="J55" s="6"/>
      <c r="K55" s="6"/>
      <c r="L55" s="6"/>
      <c r="M55" s="6">
        <v>0.10224948875255624</v>
      </c>
      <c r="N55" s="6"/>
    </row>
    <row r="56" spans="2:14" x14ac:dyDescent="0.15">
      <c r="B56" s="6"/>
      <c r="C56" s="6"/>
      <c r="D56" s="6"/>
      <c r="E56" s="6"/>
      <c r="F56" s="6">
        <v>0.122</v>
      </c>
      <c r="G56" s="6"/>
      <c r="H56" s="6"/>
      <c r="I56" s="6"/>
      <c r="J56" s="6"/>
      <c r="K56" s="6"/>
      <c r="L56" s="6"/>
      <c r="M56" s="6">
        <v>0.21628498727735368</v>
      </c>
      <c r="N56" s="6"/>
    </row>
    <row r="57" spans="2:14" x14ac:dyDescent="0.15">
      <c r="B57" s="6"/>
      <c r="C57" s="6"/>
      <c r="D57" s="6"/>
      <c r="E57" s="6"/>
      <c r="F57" s="6">
        <v>9.1999999999999998E-2</v>
      </c>
      <c r="G57" s="6"/>
      <c r="H57" s="6"/>
      <c r="I57" s="6"/>
      <c r="J57" s="6"/>
      <c r="K57" s="6"/>
      <c r="L57" s="6"/>
      <c r="M57" s="6">
        <v>0.15369649805447472</v>
      </c>
      <c r="N57" s="6"/>
    </row>
    <row r="58" spans="2:14" x14ac:dyDescent="0.15">
      <c r="B58" s="6"/>
      <c r="C58" s="6"/>
      <c r="D58" s="6"/>
      <c r="E58" s="6"/>
      <c r="F58" s="6">
        <v>0.11899999999999999</v>
      </c>
      <c r="G58" s="6"/>
      <c r="H58" s="6"/>
      <c r="I58" s="6"/>
      <c r="J58" s="6"/>
      <c r="K58" s="6"/>
      <c r="L58" s="6"/>
      <c r="M58" s="6">
        <v>9.7713097713097719E-2</v>
      </c>
      <c r="N58" s="6"/>
    </row>
    <row r="59" spans="2:14" x14ac:dyDescent="0.15">
      <c r="B59" s="6" t="s">
        <v>0</v>
      </c>
      <c r="C59" s="6"/>
      <c r="D59" s="6"/>
      <c r="E59" s="6"/>
      <c r="F59" s="6">
        <v>0.08</v>
      </c>
      <c r="G59" s="6"/>
      <c r="H59" s="6"/>
      <c r="I59" s="6"/>
      <c r="J59" s="6"/>
      <c r="K59" s="6"/>
      <c r="L59" s="6"/>
      <c r="M59" s="6">
        <v>0.17251461988304093</v>
      </c>
      <c r="N59" s="6"/>
    </row>
    <row r="60" spans="2:14" x14ac:dyDescent="0.15">
      <c r="B60" s="6" t="s">
        <v>1</v>
      </c>
      <c r="C60" s="6"/>
      <c r="D60" s="6"/>
      <c r="E60" s="6"/>
      <c r="F60" s="6">
        <v>9.2999999999999999E-2</v>
      </c>
      <c r="G60" s="6"/>
      <c r="H60" s="6"/>
      <c r="I60" s="6"/>
      <c r="J60" s="6"/>
      <c r="K60" s="6"/>
      <c r="L60" s="6"/>
      <c r="M60" s="6">
        <v>0.125</v>
      </c>
      <c r="N60" s="6"/>
    </row>
    <row r="61" spans="2:14" x14ac:dyDescent="0.15">
      <c r="B61" s="6" t="s">
        <v>2</v>
      </c>
      <c r="C61" s="6"/>
      <c r="D61" s="6"/>
      <c r="E61" s="6"/>
      <c r="F61" s="6">
        <v>0.30399999999999999</v>
      </c>
      <c r="G61" s="6"/>
      <c r="H61" s="6"/>
      <c r="I61" s="6"/>
      <c r="J61" s="6"/>
      <c r="K61" s="6"/>
      <c r="L61" s="6"/>
      <c r="M61" s="7">
        <v>5.5E-2</v>
      </c>
      <c r="N61" s="6"/>
    </row>
    <row r="62" spans="2:14" x14ac:dyDescent="0.15">
      <c r="B62" s="6" t="s">
        <v>3</v>
      </c>
      <c r="C62" s="6"/>
      <c r="D62" s="6"/>
      <c r="E62" s="6"/>
      <c r="F62" s="6">
        <v>0.19600000000000001</v>
      </c>
      <c r="G62" s="6"/>
      <c r="H62" s="6"/>
      <c r="I62" s="6"/>
      <c r="J62" s="6"/>
      <c r="K62" s="6"/>
      <c r="L62" s="6"/>
      <c r="M62" s="7">
        <v>9.7000000000000003E-2</v>
      </c>
      <c r="N62" s="6"/>
    </row>
    <row r="63" spans="2:14" x14ac:dyDescent="0.15">
      <c r="B63" s="6" t="s">
        <v>4</v>
      </c>
      <c r="C63" s="6"/>
      <c r="D63" s="6"/>
      <c r="E63" s="6"/>
      <c r="F63" s="6">
        <v>0.122</v>
      </c>
      <c r="G63" s="6"/>
      <c r="H63" s="6"/>
      <c r="I63" s="6"/>
      <c r="J63" s="6"/>
      <c r="K63" s="6"/>
      <c r="L63" s="6"/>
      <c r="M63" s="6">
        <v>6.8493150684931517E-2</v>
      </c>
      <c r="N63" s="6"/>
    </row>
    <row r="64" spans="2:14" x14ac:dyDescent="0.15">
      <c r="B64" s="6" t="s">
        <v>5</v>
      </c>
      <c r="C64" s="6"/>
      <c r="D64" s="6"/>
      <c r="E64" s="6"/>
      <c r="F64" s="6">
        <v>1.08</v>
      </c>
      <c r="G64" s="6"/>
      <c r="H64" s="6"/>
      <c r="I64" s="6"/>
      <c r="J64" s="6"/>
      <c r="K64" s="6"/>
      <c r="L64" s="6"/>
      <c r="M64" s="6">
        <v>3.5087719298245612E-2</v>
      </c>
      <c r="N64" s="6"/>
    </row>
    <row r="65" spans="2:14" x14ac:dyDescent="0.15">
      <c r="B65" s="6" t="s">
        <v>6</v>
      </c>
      <c r="C65" s="6"/>
      <c r="D65" s="6"/>
      <c r="E65" s="6"/>
      <c r="F65" s="6">
        <v>1.78</v>
      </c>
      <c r="G65" s="6"/>
      <c r="H65" s="6"/>
      <c r="I65" s="6"/>
      <c r="J65" s="6"/>
      <c r="K65" s="6"/>
      <c r="L65" s="6"/>
      <c r="M65" s="6">
        <v>0.12087912087912088</v>
      </c>
      <c r="N65" s="6"/>
    </row>
    <row r="66" spans="2:14" x14ac:dyDescent="0.15">
      <c r="B66" s="6" t="s">
        <v>10</v>
      </c>
      <c r="C66" s="6"/>
      <c r="D66" s="6"/>
      <c r="E66" s="6"/>
      <c r="F66" s="6">
        <v>0.56299999999999994</v>
      </c>
      <c r="G66" s="6"/>
      <c r="H66" s="6"/>
      <c r="I66" s="6"/>
      <c r="J66" s="6"/>
      <c r="K66" s="6"/>
      <c r="L66" s="6"/>
      <c r="M66" s="6">
        <v>0.14492753623188404</v>
      </c>
      <c r="N66" s="6"/>
    </row>
    <row r="67" spans="2:14" x14ac:dyDescent="0.15">
      <c r="B67" s="6" t="s">
        <v>11</v>
      </c>
      <c r="C67" s="6"/>
      <c r="D67" s="6"/>
      <c r="E67" s="6"/>
      <c r="F67" s="6">
        <v>9.2999999999999999E-2</v>
      </c>
      <c r="G67" s="6"/>
      <c r="H67" s="6"/>
      <c r="I67" s="6"/>
      <c r="J67" s="6"/>
      <c r="K67" s="6"/>
      <c r="L67" s="6"/>
      <c r="M67" s="6">
        <v>0.33600000000000002</v>
      </c>
      <c r="N67" s="6"/>
    </row>
    <row r="68" spans="2:14" x14ac:dyDescent="0.15">
      <c r="B68" s="6" t="s">
        <v>7</v>
      </c>
      <c r="C68" s="6"/>
      <c r="D68" s="6"/>
      <c r="E68" s="6"/>
      <c r="F68" s="6">
        <v>0.26250000000000001</v>
      </c>
      <c r="G68" s="6"/>
      <c r="H68" s="6"/>
      <c r="I68" s="6"/>
      <c r="J68" s="6"/>
      <c r="K68" s="6"/>
      <c r="L68" s="6"/>
      <c r="M68" s="6">
        <v>0.35</v>
      </c>
      <c r="N68" s="6"/>
    </row>
    <row r="69" spans="2:14" x14ac:dyDescent="0.15">
      <c r="B69" s="6" t="s">
        <v>8</v>
      </c>
      <c r="C69" s="6"/>
      <c r="D69" s="6"/>
      <c r="E69" s="6"/>
      <c r="F69" s="6">
        <v>0.06</v>
      </c>
      <c r="G69" s="6"/>
      <c r="H69" s="6"/>
      <c r="I69" s="6"/>
      <c r="J69" s="6"/>
      <c r="K69" s="6"/>
      <c r="L69" s="6"/>
      <c r="M69" s="6">
        <v>0.158</v>
      </c>
      <c r="N69" s="6"/>
    </row>
    <row r="70" spans="2:14" x14ac:dyDescent="0.15">
      <c r="B70" s="6" t="s">
        <v>9</v>
      </c>
      <c r="C70" s="6"/>
      <c r="D70" s="6"/>
      <c r="E70" s="6"/>
      <c r="F70" s="6">
        <v>7.8014184397163122E-2</v>
      </c>
      <c r="G70" s="6"/>
      <c r="H70" s="6"/>
      <c r="I70" s="6"/>
      <c r="J70" s="6"/>
      <c r="K70" s="6"/>
      <c r="L70" s="6"/>
      <c r="M70" s="6">
        <v>0.17100000000000001</v>
      </c>
      <c r="N70" s="6"/>
    </row>
    <row r="71" spans="2:14" x14ac:dyDescent="0.15">
      <c r="B71" s="6"/>
      <c r="C71" s="6"/>
      <c r="D71" s="6"/>
      <c r="E71" s="6"/>
      <c r="F71" s="6">
        <v>0.12204724409448821</v>
      </c>
      <c r="G71" s="6"/>
      <c r="H71" s="6"/>
      <c r="I71" s="6"/>
      <c r="J71" s="6"/>
      <c r="K71" s="6"/>
      <c r="L71" s="6"/>
      <c r="M71" s="6">
        <v>0.1</v>
      </c>
      <c r="N71" s="6"/>
    </row>
    <row r="72" spans="2:14" x14ac:dyDescent="0.15">
      <c r="B72" s="6"/>
      <c r="C72" s="6"/>
      <c r="D72" s="6"/>
      <c r="E72" s="6"/>
      <c r="F72" s="6">
        <v>0.33413461538461542</v>
      </c>
      <c r="G72" s="6"/>
      <c r="H72" s="6"/>
      <c r="I72" s="6"/>
      <c r="J72" s="6"/>
      <c r="K72" s="6"/>
      <c r="L72" s="6"/>
      <c r="M72" s="6">
        <v>0.13</v>
      </c>
      <c r="N72" s="6"/>
    </row>
    <row r="73" spans="2:14" x14ac:dyDescent="0.15">
      <c r="B73" s="6"/>
      <c r="C73" s="6"/>
      <c r="D73" s="6"/>
      <c r="E73" s="6"/>
      <c r="F73" s="6">
        <v>2.1000000000000001E-2</v>
      </c>
      <c r="G73" s="6"/>
      <c r="H73" s="6"/>
      <c r="I73" s="6"/>
      <c r="J73" s="6"/>
      <c r="K73" s="6"/>
      <c r="L73" s="6"/>
      <c r="M73" s="6">
        <v>0.13100000000000001</v>
      </c>
      <c r="N73" s="6"/>
    </row>
    <row r="74" spans="2:14" x14ac:dyDescent="0.1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0.10199999999999999</v>
      </c>
      <c r="N74" s="6"/>
    </row>
    <row r="75" spans="2:14" x14ac:dyDescent="0.1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6.2399999999999997E-2</v>
      </c>
      <c r="N75" s="6"/>
    </row>
    <row r="76" spans="2:14" x14ac:dyDescent="0.1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>
        <v>0.16500000000000001</v>
      </c>
      <c r="N76" s="6"/>
    </row>
    <row r="77" spans="2:14" x14ac:dyDescent="0.1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0.17899999999999999</v>
      </c>
      <c r="N77" s="6"/>
    </row>
    <row r="78" spans="2:14" x14ac:dyDescent="0.1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>
        <v>0.13100000000000001</v>
      </c>
      <c r="N78" s="6"/>
    </row>
    <row r="79" spans="2:14" x14ac:dyDescent="0.1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5.5100000000000003E-2</v>
      </c>
      <c r="N79" s="6"/>
    </row>
    <row r="80" spans="2:14" x14ac:dyDescent="0.1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0.30508474576271183</v>
      </c>
      <c r="N80" s="6"/>
    </row>
    <row r="81" spans="2:14" x14ac:dyDescent="0.1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0.13300000000000001</v>
      </c>
      <c r="N81" s="6"/>
    </row>
    <row r="82" spans="2:14" x14ac:dyDescent="0.1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>
        <v>2.1000000000000001E-2</v>
      </c>
      <c r="N82" s="6"/>
    </row>
    <row r="83" spans="2:14" x14ac:dyDescent="0.1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>
        <v>0.16400000000000001</v>
      </c>
      <c r="N83" s="6"/>
    </row>
    <row r="84" spans="2:14" x14ac:dyDescent="0.1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1.7999999999999999E-2</v>
      </c>
      <c r="N84" s="6"/>
    </row>
  </sheetData>
  <mergeCells count="1">
    <mergeCell ref="B2:M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72"/>
  <sheetViews>
    <sheetView workbookViewId="0">
      <selection activeCell="K19" sqref="K19"/>
    </sheetView>
  </sheetViews>
  <sheetFormatPr defaultRowHeight="13.5" x14ac:dyDescent="0.15"/>
  <sheetData>
    <row r="3" spans="3:15" x14ac:dyDescent="0.15">
      <c r="C3" s="9" t="s">
        <v>23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3:15" x14ac:dyDescent="0.15"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12</v>
      </c>
      <c r="M4" s="1" t="s">
        <v>14</v>
      </c>
      <c r="N4" s="1" t="s">
        <v>21</v>
      </c>
      <c r="O4" s="1" t="s">
        <v>16</v>
      </c>
    </row>
    <row r="5" spans="3:15" x14ac:dyDescent="0.15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10</v>
      </c>
      <c r="K5" s="1" t="s">
        <v>11</v>
      </c>
      <c r="L5" s="1" t="s">
        <v>7</v>
      </c>
      <c r="M5" s="1" t="s">
        <v>8</v>
      </c>
      <c r="N5" s="1" t="s">
        <v>22</v>
      </c>
      <c r="O5" s="1" t="s">
        <v>9</v>
      </c>
    </row>
    <row r="6" spans="3:15" x14ac:dyDescent="0.15">
      <c r="C6" s="1">
        <v>23.4</v>
      </c>
      <c r="D6" s="1">
        <v>8</v>
      </c>
      <c r="E6" s="1">
        <v>4.5999999999999996</v>
      </c>
      <c r="F6" s="1">
        <v>0.64</v>
      </c>
      <c r="G6" s="1">
        <v>0.86</v>
      </c>
      <c r="H6" s="1">
        <v>0.74</v>
      </c>
      <c r="I6" s="1">
        <v>0.34</v>
      </c>
      <c r="J6" s="1">
        <v>6.6000000000000003E-2</v>
      </c>
      <c r="K6" s="1">
        <v>4.2000000000000003E-2</v>
      </c>
      <c r="L6" s="1">
        <v>14.5</v>
      </c>
      <c r="M6" s="1">
        <v>1.08</v>
      </c>
      <c r="N6" s="1">
        <v>1.03</v>
      </c>
      <c r="O6" s="1">
        <v>0.32</v>
      </c>
    </row>
    <row r="7" spans="3:15" x14ac:dyDescent="0.15">
      <c r="C7" s="1">
        <v>33</v>
      </c>
      <c r="D7" s="1">
        <v>12.4</v>
      </c>
      <c r="E7" s="1">
        <v>11</v>
      </c>
      <c r="F7" s="1">
        <v>1.23</v>
      </c>
      <c r="G7" s="1">
        <v>1.43</v>
      </c>
      <c r="H7" s="1">
        <v>0.74</v>
      </c>
      <c r="I7" s="1">
        <v>0.52</v>
      </c>
      <c r="J7" s="1">
        <v>4.5999999999999999E-2</v>
      </c>
      <c r="K7" s="1">
        <v>0.03</v>
      </c>
      <c r="L7" s="1">
        <v>4.22</v>
      </c>
      <c r="M7" s="1">
        <v>7.56</v>
      </c>
      <c r="N7" s="1">
        <v>6.57</v>
      </c>
      <c r="O7" s="1">
        <v>1.67</v>
      </c>
    </row>
    <row r="8" spans="3:15" x14ac:dyDescent="0.15">
      <c r="C8" s="1">
        <v>17</v>
      </c>
      <c r="D8" s="1">
        <v>4.0999999999999996</v>
      </c>
      <c r="E8" s="1">
        <v>2.1</v>
      </c>
      <c r="F8" s="1">
        <v>2.41</v>
      </c>
      <c r="G8" s="1">
        <v>0.55000000000000004</v>
      </c>
      <c r="H8" s="1">
        <v>0.8</v>
      </c>
      <c r="I8" s="1">
        <v>0</v>
      </c>
      <c r="J8" s="1">
        <v>6.0999999999999999E-2</v>
      </c>
      <c r="K8" s="1">
        <v>0.04</v>
      </c>
      <c r="L8" s="1">
        <v>0.42</v>
      </c>
      <c r="M8" s="1">
        <v>0.5</v>
      </c>
      <c r="N8" s="1">
        <v>0</v>
      </c>
      <c r="O8" s="1">
        <v>0</v>
      </c>
    </row>
    <row r="9" spans="3:15" x14ac:dyDescent="0.15">
      <c r="C9" s="1">
        <v>8.6</v>
      </c>
      <c r="D9" s="1">
        <v>7.9</v>
      </c>
      <c r="E9" s="1">
        <v>2.8</v>
      </c>
      <c r="F9" s="1">
        <v>2.52</v>
      </c>
      <c r="G9" s="1">
        <v>0.39</v>
      </c>
      <c r="H9" s="1">
        <v>1.05</v>
      </c>
      <c r="I9" s="1">
        <v>7.5999999999999998E-2</v>
      </c>
      <c r="J9" s="1">
        <v>4.3999999999999997E-2</v>
      </c>
      <c r="K9" s="1">
        <v>2.8000000000000001E-2</v>
      </c>
      <c r="L9" s="1">
        <v>1.583</v>
      </c>
      <c r="M9" s="1">
        <v>0.17299999999999999</v>
      </c>
      <c r="N9" s="1"/>
      <c r="O9" s="1">
        <v>0.152</v>
      </c>
    </row>
    <row r="10" spans="3:15" x14ac:dyDescent="0.15">
      <c r="C10" s="1">
        <v>28.4</v>
      </c>
      <c r="D10" s="1">
        <v>10.199999999999999</v>
      </c>
      <c r="E10" s="1">
        <v>11.7</v>
      </c>
      <c r="F10" s="1">
        <v>3.33</v>
      </c>
      <c r="G10" s="1">
        <v>9.2999999999999999E-2</v>
      </c>
      <c r="H10" s="1">
        <v>0.77</v>
      </c>
      <c r="I10" s="1">
        <v>5.5E-2</v>
      </c>
      <c r="J10" s="1">
        <v>5.8000000000000003E-2</v>
      </c>
      <c r="K10" s="1">
        <v>3.5999999999999997E-2</v>
      </c>
      <c r="L10" s="1">
        <v>1.288</v>
      </c>
      <c r="M10" s="1">
        <v>0.14099999999999999</v>
      </c>
      <c r="N10" s="1"/>
      <c r="O10" s="1">
        <v>0.10100000000000001</v>
      </c>
    </row>
    <row r="11" spans="3:15" x14ac:dyDescent="0.15">
      <c r="C11" s="1">
        <v>56.8</v>
      </c>
      <c r="D11" s="1">
        <v>20.399999999999999</v>
      </c>
      <c r="E11" s="1">
        <v>9.9</v>
      </c>
      <c r="F11" s="1">
        <v>2.66</v>
      </c>
      <c r="G11" s="1">
        <v>8.8999999999999996E-2</v>
      </c>
      <c r="H11" s="1">
        <v>2.85</v>
      </c>
      <c r="I11" s="1">
        <v>7.0000000000000007E-2</v>
      </c>
      <c r="J11" s="1">
        <v>0.04</v>
      </c>
      <c r="K11" s="1">
        <v>2.5999999999999999E-2</v>
      </c>
      <c r="L11" s="1">
        <v>1.4059999999999999</v>
      </c>
      <c r="M11" s="1">
        <v>0.16600000000000001</v>
      </c>
      <c r="N11" s="1"/>
      <c r="O11" s="1">
        <v>0.129</v>
      </c>
    </row>
    <row r="12" spans="3:15" x14ac:dyDescent="0.15">
      <c r="C12" s="1">
        <v>12.2</v>
      </c>
      <c r="D12" s="1">
        <v>17.100000000000001</v>
      </c>
      <c r="E12" s="1">
        <v>2.9</v>
      </c>
      <c r="F12" s="1">
        <v>0.86</v>
      </c>
      <c r="G12" s="1">
        <v>1.34</v>
      </c>
      <c r="H12" s="3">
        <v>0</v>
      </c>
      <c r="I12" s="1">
        <v>5.3999999999999999E-2</v>
      </c>
      <c r="J12" s="1"/>
      <c r="K12" s="1"/>
      <c r="L12" s="1">
        <v>1.1839999999999999</v>
      </c>
      <c r="M12" s="1">
        <v>0.122</v>
      </c>
      <c r="N12" s="1"/>
      <c r="O12" s="1">
        <v>7.8E-2</v>
      </c>
    </row>
    <row r="13" spans="3:15" x14ac:dyDescent="0.15">
      <c r="C13" s="3">
        <v>1560</v>
      </c>
      <c r="D13" s="1">
        <v>1.9219999999999999</v>
      </c>
      <c r="E13" s="1">
        <v>0.64800000000000002</v>
      </c>
      <c r="F13" s="1">
        <v>0.16900000000000001</v>
      </c>
      <c r="G13" s="1">
        <v>2.52</v>
      </c>
      <c r="H13" s="1">
        <v>8.5999999999999993E-2</v>
      </c>
      <c r="I13" s="1">
        <v>6.3E-2</v>
      </c>
      <c r="J13" s="1"/>
      <c r="K13" s="1"/>
      <c r="L13" s="1">
        <v>1.05</v>
      </c>
      <c r="M13" s="1">
        <v>0.14799999999999999</v>
      </c>
      <c r="N13" s="1"/>
      <c r="O13" s="1">
        <v>0.10299999999999999</v>
      </c>
    </row>
    <row r="14" spans="3:15" x14ac:dyDescent="0.15">
      <c r="C14" s="3">
        <v>3390</v>
      </c>
      <c r="D14" s="1">
        <v>2.1190000000000002</v>
      </c>
      <c r="E14" s="1">
        <v>0.77400000000000002</v>
      </c>
      <c r="F14" s="1">
        <v>0.24099999999999999</v>
      </c>
      <c r="G14" s="1">
        <v>0.11</v>
      </c>
      <c r="H14" s="1">
        <v>7.4999999999999997E-2</v>
      </c>
      <c r="I14" s="1">
        <v>4.5999999999999999E-2</v>
      </c>
      <c r="J14" s="1"/>
      <c r="K14" s="1"/>
      <c r="L14" s="1">
        <v>0.89900000000000002</v>
      </c>
      <c r="M14" s="1">
        <v>0.11899999999999999</v>
      </c>
      <c r="N14" s="1"/>
      <c r="O14" s="1">
        <v>7.0999999999999994E-2</v>
      </c>
    </row>
    <row r="15" spans="3:15" x14ac:dyDescent="0.15">
      <c r="C15" s="3">
        <v>767</v>
      </c>
      <c r="D15" s="1">
        <v>1.5740000000000001</v>
      </c>
      <c r="E15" s="1">
        <v>0.59899999999999998</v>
      </c>
      <c r="F15" s="1">
        <v>0.127</v>
      </c>
      <c r="G15" s="1">
        <v>0.113</v>
      </c>
      <c r="H15" s="1">
        <v>8.2000000000000003E-2</v>
      </c>
      <c r="I15" s="1"/>
      <c r="J15" s="1"/>
      <c r="K15" s="1"/>
      <c r="L15" s="1">
        <v>102</v>
      </c>
      <c r="M15" s="1">
        <v>46.2</v>
      </c>
      <c r="N15" s="1"/>
      <c r="O15" s="1">
        <v>6.49</v>
      </c>
    </row>
    <row r="16" spans="3:15" x14ac:dyDescent="0.15">
      <c r="C16" s="1"/>
      <c r="D16" s="1">
        <v>1.7030000000000001</v>
      </c>
      <c r="E16" s="1">
        <v>0.68799999999999994</v>
      </c>
      <c r="F16" s="1">
        <v>0.218</v>
      </c>
      <c r="G16" s="1">
        <v>0.16500000000000001</v>
      </c>
      <c r="H16" s="1">
        <v>0.06</v>
      </c>
      <c r="I16" s="1"/>
      <c r="J16" s="1"/>
      <c r="K16" s="1"/>
      <c r="L16" s="1">
        <v>316</v>
      </c>
      <c r="M16" s="1">
        <v>17.7</v>
      </c>
      <c r="N16" s="1"/>
      <c r="O16" s="1">
        <v>4.8099999999999996</v>
      </c>
    </row>
    <row r="17" spans="3:15" x14ac:dyDescent="0.15">
      <c r="C17" s="1"/>
      <c r="D17" s="1">
        <v>0.98799999999999999</v>
      </c>
      <c r="E17" s="1">
        <v>0.56499999999999995</v>
      </c>
      <c r="F17" s="1">
        <v>0.105</v>
      </c>
      <c r="G17" s="1">
        <v>8.5999999999999993E-2</v>
      </c>
      <c r="H17" s="1">
        <v>6.5000000000000002E-2</v>
      </c>
      <c r="I17" s="1"/>
      <c r="J17" s="1"/>
      <c r="K17" s="1"/>
      <c r="L17" s="1">
        <v>58.3</v>
      </c>
      <c r="M17" s="1">
        <v>3.52</v>
      </c>
      <c r="N17" s="1"/>
      <c r="O17" s="1">
        <v>0.75900000000000001</v>
      </c>
    </row>
    <row r="18" spans="3:15" x14ac:dyDescent="0.15">
      <c r="C18" s="1"/>
      <c r="D18" s="1">
        <v>1.165</v>
      </c>
      <c r="E18" s="1">
        <v>0.629</v>
      </c>
      <c r="F18" s="1">
        <v>0.2</v>
      </c>
      <c r="G18" s="1">
        <v>0.113</v>
      </c>
      <c r="H18" s="1">
        <v>5.1999999999999998E-2</v>
      </c>
      <c r="I18" s="1"/>
      <c r="J18" s="1"/>
      <c r="K18" s="1"/>
      <c r="L18" s="1"/>
      <c r="M18" s="1"/>
      <c r="N18" s="1"/>
      <c r="O18" s="1"/>
    </row>
    <row r="19" spans="3:15" x14ac:dyDescent="0.15">
      <c r="C19" s="1"/>
      <c r="D19" s="3">
        <v>819</v>
      </c>
      <c r="E19" s="3">
        <v>415</v>
      </c>
      <c r="F19" s="1">
        <v>122</v>
      </c>
      <c r="G19" s="1">
        <v>6.9000000000000006E-2</v>
      </c>
      <c r="H19" s="1">
        <v>11.5</v>
      </c>
      <c r="I19" s="1"/>
      <c r="J19" s="1"/>
      <c r="K19" s="1"/>
      <c r="L19" s="1"/>
      <c r="M19" s="1"/>
      <c r="N19" s="1"/>
      <c r="O19" s="1"/>
    </row>
    <row r="20" spans="3:15" x14ac:dyDescent="0.15">
      <c r="C20" s="1"/>
      <c r="D20" s="3">
        <v>1300</v>
      </c>
      <c r="E20" s="3">
        <v>321</v>
      </c>
      <c r="F20" s="1">
        <v>34.700000000000003</v>
      </c>
      <c r="G20" s="1">
        <v>0.108</v>
      </c>
      <c r="H20" s="1">
        <v>1.65</v>
      </c>
      <c r="I20" s="1"/>
      <c r="J20" s="1"/>
      <c r="K20" s="1"/>
      <c r="L20" s="1"/>
      <c r="M20" s="1"/>
      <c r="N20" s="1"/>
      <c r="O20" s="1"/>
    </row>
    <row r="21" spans="3:15" x14ac:dyDescent="0.15">
      <c r="C21" s="1"/>
      <c r="D21" s="1">
        <v>314</v>
      </c>
      <c r="E21" s="1">
        <v>71.8</v>
      </c>
      <c r="F21" s="1">
        <v>7.26</v>
      </c>
      <c r="G21" s="1">
        <v>34.9</v>
      </c>
      <c r="H21" s="1">
        <v>0.93799999999999994</v>
      </c>
      <c r="I21" s="1"/>
      <c r="J21" s="1"/>
      <c r="K21" s="1"/>
      <c r="L21" s="1"/>
      <c r="M21" s="1"/>
      <c r="N21" s="1"/>
      <c r="O21" s="1"/>
    </row>
    <row r="22" spans="3:15" x14ac:dyDescent="0.15">
      <c r="C22" s="1"/>
      <c r="D22" s="1"/>
      <c r="E22" s="1"/>
      <c r="F22" s="1"/>
      <c r="G22" s="1">
        <v>4.3</v>
      </c>
      <c r="H22" s="1"/>
      <c r="I22" s="1"/>
      <c r="J22" s="1"/>
      <c r="K22" s="1"/>
      <c r="L22" s="1"/>
      <c r="M22" s="1"/>
      <c r="N22" s="1"/>
      <c r="O22" s="1"/>
    </row>
    <row r="23" spans="3:15" x14ac:dyDescent="0.15">
      <c r="C23" s="1"/>
      <c r="D23" s="1"/>
      <c r="E23" s="1"/>
      <c r="F23" s="1"/>
      <c r="G23" s="1">
        <v>1.18</v>
      </c>
      <c r="H23" s="1"/>
      <c r="I23" s="1"/>
      <c r="J23" s="1"/>
      <c r="K23" s="1"/>
      <c r="L23" s="1"/>
      <c r="M23" s="1"/>
      <c r="N23" s="1"/>
      <c r="O23" s="1"/>
    </row>
    <row r="24" spans="3:15" x14ac:dyDescent="0.1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3:15" x14ac:dyDescent="0.1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3:15" x14ac:dyDescent="0.1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33" spans="2:16" x14ac:dyDescent="0.15">
      <c r="C33" s="2" t="s">
        <v>0</v>
      </c>
      <c r="D33" s="2" t="s">
        <v>1</v>
      </c>
      <c r="E33" s="2" t="s">
        <v>2</v>
      </c>
      <c r="F33" s="2" t="s">
        <v>3</v>
      </c>
      <c r="G33" s="2" t="s">
        <v>4</v>
      </c>
      <c r="H33" s="2" t="s">
        <v>5</v>
      </c>
      <c r="I33" s="2" t="s">
        <v>6</v>
      </c>
      <c r="J33" s="2" t="s">
        <v>10</v>
      </c>
      <c r="K33" s="2" t="s">
        <v>11</v>
      </c>
      <c r="L33" s="2" t="s">
        <v>7</v>
      </c>
      <c r="M33" s="2" t="s">
        <v>8</v>
      </c>
      <c r="N33" s="2" t="s">
        <v>9</v>
      </c>
      <c r="P33" s="2" t="s">
        <v>0</v>
      </c>
    </row>
    <row r="34" spans="2:16" x14ac:dyDescent="0.15">
      <c r="B34" s="5">
        <v>1</v>
      </c>
      <c r="C34" s="4">
        <v>23.4</v>
      </c>
      <c r="D34" s="4">
        <v>8</v>
      </c>
      <c r="E34" s="4">
        <v>4.5999999999999996</v>
      </c>
      <c r="F34" s="4">
        <v>0.64</v>
      </c>
      <c r="G34" s="4">
        <v>0.86</v>
      </c>
      <c r="H34" s="4">
        <v>0.74</v>
      </c>
      <c r="I34" s="4">
        <v>0.34</v>
      </c>
      <c r="J34" s="2">
        <v>6.6000000000000003E-2</v>
      </c>
      <c r="K34" s="2">
        <v>4.2000000000000003E-2</v>
      </c>
      <c r="L34" s="4">
        <v>14.5</v>
      </c>
      <c r="M34" s="4">
        <v>1.08</v>
      </c>
      <c r="N34" s="4">
        <v>0.32</v>
      </c>
      <c r="P34" s="2" t="s">
        <v>1</v>
      </c>
    </row>
    <row r="35" spans="2:16" x14ac:dyDescent="0.15">
      <c r="B35" s="5">
        <v>2</v>
      </c>
      <c r="C35" s="4">
        <v>33</v>
      </c>
      <c r="D35" s="4">
        <v>12.4</v>
      </c>
      <c r="E35" s="4">
        <v>11</v>
      </c>
      <c r="F35" s="4">
        <v>1.23</v>
      </c>
      <c r="G35" s="4">
        <v>1.43</v>
      </c>
      <c r="H35" s="4">
        <v>0.74</v>
      </c>
      <c r="I35" s="4">
        <v>0.52</v>
      </c>
      <c r="J35" s="2">
        <v>4.5999999999999999E-2</v>
      </c>
      <c r="K35" s="2">
        <v>0.03</v>
      </c>
      <c r="L35" s="4">
        <v>4.22</v>
      </c>
      <c r="M35" s="4">
        <v>7.56</v>
      </c>
      <c r="N35" s="4">
        <v>1.67</v>
      </c>
      <c r="P35" s="2" t="s">
        <v>2</v>
      </c>
    </row>
    <row r="36" spans="2:16" x14ac:dyDescent="0.15">
      <c r="B36" s="5">
        <v>3</v>
      </c>
      <c r="C36" s="4">
        <v>17</v>
      </c>
      <c r="D36" s="4">
        <v>4.0999999999999996</v>
      </c>
      <c r="E36" s="4">
        <v>2.1</v>
      </c>
      <c r="F36" s="4">
        <v>2.41</v>
      </c>
      <c r="G36" s="4">
        <v>0.55000000000000004</v>
      </c>
      <c r="H36" s="4">
        <v>0.8</v>
      </c>
      <c r="I36" s="2">
        <v>7.5999999999999998E-2</v>
      </c>
      <c r="J36" s="2">
        <v>6.0999999999999999E-2</v>
      </c>
      <c r="K36" s="2">
        <v>0.04</v>
      </c>
      <c r="L36" s="4">
        <v>0.42</v>
      </c>
      <c r="M36" s="4">
        <v>0.5</v>
      </c>
      <c r="N36" s="2">
        <v>0.152</v>
      </c>
      <c r="P36" s="2" t="s">
        <v>3</v>
      </c>
    </row>
    <row r="37" spans="2:16" x14ac:dyDescent="0.15">
      <c r="B37" s="5">
        <v>4</v>
      </c>
      <c r="C37" s="4">
        <v>8.6</v>
      </c>
      <c r="D37" s="4">
        <v>7.9</v>
      </c>
      <c r="E37" s="4">
        <v>2.8</v>
      </c>
      <c r="F37" s="4">
        <v>2.52</v>
      </c>
      <c r="G37" s="4">
        <v>0.39</v>
      </c>
      <c r="H37" s="4">
        <v>1.05</v>
      </c>
      <c r="I37" s="2">
        <v>5.5E-2</v>
      </c>
      <c r="J37" s="2">
        <v>4.3999999999999997E-2</v>
      </c>
      <c r="K37" s="2">
        <v>2.8000000000000001E-2</v>
      </c>
      <c r="L37" s="2">
        <v>1.583</v>
      </c>
      <c r="M37" s="2">
        <v>0.17299999999999999</v>
      </c>
      <c r="N37" s="2">
        <v>0.10100000000000001</v>
      </c>
      <c r="P37" s="2" t="s">
        <v>4</v>
      </c>
    </row>
    <row r="38" spans="2:16" x14ac:dyDescent="0.15">
      <c r="B38" s="5">
        <v>5</v>
      </c>
      <c r="C38" s="4">
        <v>28.4</v>
      </c>
      <c r="D38" s="4">
        <v>10.199999999999999</v>
      </c>
      <c r="E38" s="4">
        <v>11.7</v>
      </c>
      <c r="F38" s="4">
        <v>3.33</v>
      </c>
      <c r="G38" s="4">
        <v>9.2999999999999999E-2</v>
      </c>
      <c r="H38" s="4">
        <v>0.77</v>
      </c>
      <c r="I38" s="2">
        <v>7.0000000000000007E-2</v>
      </c>
      <c r="J38" s="2">
        <v>5.8000000000000003E-2</v>
      </c>
      <c r="K38" s="2">
        <v>3.5999999999999997E-2</v>
      </c>
      <c r="L38" s="2">
        <v>1.288</v>
      </c>
      <c r="M38" s="2">
        <v>0.14099999999999999</v>
      </c>
      <c r="N38" s="2">
        <v>0.129</v>
      </c>
      <c r="P38" s="2" t="s">
        <v>5</v>
      </c>
    </row>
    <row r="39" spans="2:16" x14ac:dyDescent="0.15">
      <c r="B39" s="5">
        <v>6</v>
      </c>
      <c r="C39" s="4">
        <v>56.8</v>
      </c>
      <c r="D39" s="4">
        <v>20.399999999999999</v>
      </c>
      <c r="E39" s="4">
        <v>9.9</v>
      </c>
      <c r="F39" s="4">
        <v>2.66</v>
      </c>
      <c r="G39" s="4">
        <v>8.8999999999999996E-2</v>
      </c>
      <c r="H39" s="4">
        <v>2.85</v>
      </c>
      <c r="I39" s="2">
        <v>5.3999999999999999E-2</v>
      </c>
      <c r="J39" s="2">
        <v>0.04</v>
      </c>
      <c r="K39" s="2">
        <v>2.5999999999999999E-2</v>
      </c>
      <c r="L39" s="2">
        <v>1.4059999999999999</v>
      </c>
      <c r="M39" s="2">
        <v>0.16600000000000001</v>
      </c>
      <c r="N39" s="2">
        <v>7.8E-2</v>
      </c>
      <c r="P39" s="2" t="s">
        <v>6</v>
      </c>
    </row>
    <row r="40" spans="2:16" x14ac:dyDescent="0.15">
      <c r="B40" s="5">
        <v>7</v>
      </c>
      <c r="C40" s="4">
        <v>12.2</v>
      </c>
      <c r="D40" s="4">
        <v>17.100000000000001</v>
      </c>
      <c r="E40" s="4">
        <v>2.9</v>
      </c>
      <c r="F40" s="4">
        <v>0.86</v>
      </c>
      <c r="G40" s="4">
        <v>1.34</v>
      </c>
      <c r="H40" s="2">
        <v>8.5999999999999993E-2</v>
      </c>
      <c r="I40" s="2">
        <v>6.3E-2</v>
      </c>
      <c r="J40" s="4"/>
      <c r="K40" s="4"/>
      <c r="L40" s="2">
        <v>1.1839999999999999</v>
      </c>
      <c r="M40" s="2">
        <v>0.122</v>
      </c>
      <c r="N40" s="2">
        <v>0.10299999999999999</v>
      </c>
      <c r="P40" s="2" t="s">
        <v>10</v>
      </c>
    </row>
    <row r="41" spans="2:16" x14ac:dyDescent="0.15">
      <c r="B41" s="5">
        <v>8</v>
      </c>
      <c r="C41" s="2">
        <v>1560</v>
      </c>
      <c r="D41" s="2">
        <v>1.9219999999999999</v>
      </c>
      <c r="E41" s="2">
        <v>0.64800000000000002</v>
      </c>
      <c r="F41" s="2">
        <v>0.16900000000000001</v>
      </c>
      <c r="G41" s="4">
        <v>2.52</v>
      </c>
      <c r="H41" s="2">
        <v>7.4999999999999997E-2</v>
      </c>
      <c r="I41" s="2">
        <v>4.5999999999999999E-2</v>
      </c>
      <c r="J41" s="4"/>
      <c r="K41" s="4"/>
      <c r="L41" s="2">
        <v>1.05</v>
      </c>
      <c r="M41" s="2">
        <v>0.14799999999999999</v>
      </c>
      <c r="N41" s="2">
        <v>7.0999999999999994E-2</v>
      </c>
      <c r="P41" s="2" t="s">
        <v>11</v>
      </c>
    </row>
    <row r="42" spans="2:16" x14ac:dyDescent="0.15">
      <c r="B42" s="5">
        <v>9</v>
      </c>
      <c r="C42" s="2">
        <v>3390</v>
      </c>
      <c r="D42" s="2">
        <v>2.1190000000000002</v>
      </c>
      <c r="E42" s="2">
        <v>0.77400000000000002</v>
      </c>
      <c r="F42" s="2">
        <v>0.24099999999999999</v>
      </c>
      <c r="G42" s="4">
        <v>0.11</v>
      </c>
      <c r="H42" s="2">
        <v>8.2000000000000003E-2</v>
      </c>
      <c r="J42" s="4"/>
      <c r="K42" s="4"/>
      <c r="L42" s="2">
        <v>0.89900000000000002</v>
      </c>
      <c r="M42" s="2">
        <v>0.11899999999999999</v>
      </c>
      <c r="N42" s="2">
        <v>6.49</v>
      </c>
      <c r="P42" s="2" t="s">
        <v>7</v>
      </c>
    </row>
    <row r="43" spans="2:16" x14ac:dyDescent="0.15">
      <c r="B43" s="5">
        <v>10</v>
      </c>
      <c r="C43" s="2">
        <v>767</v>
      </c>
      <c r="D43" s="2">
        <v>1.5740000000000001</v>
      </c>
      <c r="E43" s="2">
        <v>0.59899999999999998</v>
      </c>
      <c r="F43" s="2">
        <v>0.127</v>
      </c>
      <c r="G43" s="2">
        <v>0.113</v>
      </c>
      <c r="H43" s="2">
        <v>0.06</v>
      </c>
      <c r="I43" s="4"/>
      <c r="J43" s="4"/>
      <c r="K43" s="4"/>
      <c r="L43" s="2">
        <v>102</v>
      </c>
      <c r="M43" s="2">
        <v>46.2</v>
      </c>
      <c r="N43" s="2">
        <v>4.8099999999999996</v>
      </c>
      <c r="P43" s="2" t="s">
        <v>8</v>
      </c>
    </row>
    <row r="44" spans="2:16" x14ac:dyDescent="0.15">
      <c r="B44" s="5">
        <v>11</v>
      </c>
      <c r="C44" s="4"/>
      <c r="D44" s="2">
        <v>1.7030000000000001</v>
      </c>
      <c r="E44" s="2">
        <v>0.68799999999999994</v>
      </c>
      <c r="F44" s="2">
        <v>0.218</v>
      </c>
      <c r="G44" s="2">
        <v>0.16500000000000001</v>
      </c>
      <c r="H44" s="2">
        <v>6.5000000000000002E-2</v>
      </c>
      <c r="I44" s="4"/>
      <c r="J44" s="4"/>
      <c r="K44" s="4"/>
      <c r="L44" s="2">
        <v>316</v>
      </c>
      <c r="M44" s="2">
        <v>17.7</v>
      </c>
      <c r="N44" s="2">
        <v>0.75900000000000001</v>
      </c>
      <c r="P44" s="2" t="s">
        <v>9</v>
      </c>
    </row>
    <row r="45" spans="2:16" x14ac:dyDescent="0.15">
      <c r="B45" s="5">
        <v>12</v>
      </c>
      <c r="C45" s="4"/>
      <c r="D45" s="2">
        <v>0.98799999999999999</v>
      </c>
      <c r="E45" s="2">
        <v>0.56499999999999995</v>
      </c>
      <c r="F45" s="2">
        <v>0.105</v>
      </c>
      <c r="G45" s="2">
        <v>8.5999999999999993E-2</v>
      </c>
      <c r="H45" s="2">
        <v>5.1999999999999998E-2</v>
      </c>
      <c r="I45" s="4"/>
      <c r="J45" s="4"/>
      <c r="K45" s="4"/>
      <c r="L45" s="2">
        <v>58.3</v>
      </c>
      <c r="M45" s="2">
        <v>3.52</v>
      </c>
    </row>
    <row r="46" spans="2:16" x14ac:dyDescent="0.15">
      <c r="B46" s="5">
        <v>13</v>
      </c>
      <c r="C46" s="4"/>
      <c r="D46" s="2">
        <v>1.165</v>
      </c>
      <c r="E46" s="2">
        <v>0.629</v>
      </c>
      <c r="F46" s="2">
        <v>0.2</v>
      </c>
      <c r="G46" s="2">
        <v>0.113</v>
      </c>
      <c r="H46" s="2">
        <v>11.5</v>
      </c>
      <c r="I46" s="4"/>
      <c r="J46" s="4"/>
      <c r="K46" s="4"/>
      <c r="L46" s="4"/>
      <c r="M46" s="4"/>
      <c r="N46" s="4"/>
      <c r="O46" s="4"/>
    </row>
    <row r="47" spans="2:16" x14ac:dyDescent="0.15">
      <c r="B47" s="5">
        <v>14</v>
      </c>
      <c r="C47" s="4"/>
      <c r="D47" s="2">
        <v>819</v>
      </c>
      <c r="E47" s="2">
        <v>415</v>
      </c>
      <c r="F47" s="2">
        <v>122</v>
      </c>
      <c r="G47" s="2">
        <v>6.9000000000000006E-2</v>
      </c>
      <c r="H47" s="2">
        <v>1.65</v>
      </c>
      <c r="I47" s="4"/>
      <c r="J47" s="4"/>
      <c r="K47" s="4"/>
      <c r="L47" s="4"/>
      <c r="M47" s="4"/>
      <c r="N47" s="4"/>
      <c r="O47" s="4"/>
    </row>
    <row r="48" spans="2:16" x14ac:dyDescent="0.15">
      <c r="B48" s="5">
        <v>15</v>
      </c>
      <c r="C48" s="4"/>
      <c r="D48" s="2">
        <v>1300</v>
      </c>
      <c r="E48" s="2">
        <v>321</v>
      </c>
      <c r="F48" s="2">
        <v>34.700000000000003</v>
      </c>
      <c r="G48" s="2">
        <v>0.108</v>
      </c>
      <c r="H48" s="2">
        <v>0.93799999999999994</v>
      </c>
      <c r="I48" s="4"/>
      <c r="J48" s="4"/>
      <c r="K48" s="4"/>
      <c r="L48" s="4"/>
      <c r="M48" s="4"/>
      <c r="N48" s="4"/>
      <c r="O48" s="4"/>
    </row>
    <row r="49" spans="2:15" x14ac:dyDescent="0.15">
      <c r="B49" s="5">
        <v>16</v>
      </c>
      <c r="C49" s="4"/>
      <c r="D49" s="2">
        <v>314</v>
      </c>
      <c r="E49" s="2">
        <v>71.8</v>
      </c>
      <c r="F49" s="2">
        <v>7.26</v>
      </c>
      <c r="G49" s="2">
        <v>34.9</v>
      </c>
      <c r="I49" s="4"/>
      <c r="J49" s="4"/>
      <c r="K49" s="4"/>
      <c r="L49" s="4"/>
      <c r="M49" s="4"/>
      <c r="N49" s="4"/>
      <c r="O49" s="4"/>
    </row>
    <row r="50" spans="2:15" x14ac:dyDescent="0.15">
      <c r="B50" s="5">
        <v>17</v>
      </c>
      <c r="C50" s="4"/>
      <c r="D50" s="4"/>
      <c r="E50" s="4"/>
      <c r="F50" s="4"/>
      <c r="G50" s="2">
        <v>4.3</v>
      </c>
      <c r="H50" s="4"/>
      <c r="I50" s="4"/>
      <c r="J50" s="4"/>
      <c r="K50" s="4"/>
      <c r="L50" s="4"/>
      <c r="M50" s="4"/>
      <c r="N50" s="4"/>
      <c r="O50" s="4"/>
    </row>
    <row r="51" spans="2:15" x14ac:dyDescent="0.15">
      <c r="B51" s="5">
        <v>18</v>
      </c>
      <c r="C51" s="4"/>
      <c r="D51" s="4"/>
      <c r="E51" s="4"/>
      <c r="F51" s="4"/>
      <c r="G51" s="2">
        <v>1.18</v>
      </c>
      <c r="H51" s="4"/>
      <c r="I51" s="4"/>
      <c r="J51" s="4"/>
      <c r="K51" s="4"/>
      <c r="L51" s="4"/>
      <c r="M51" s="4"/>
      <c r="N51" s="4"/>
      <c r="O51" s="4"/>
    </row>
    <row r="52" spans="2:15" x14ac:dyDescent="0.15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2:15" x14ac:dyDescent="0.15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5" spans="2:15" x14ac:dyDescent="0.15">
      <c r="B55" s="5">
        <v>1</v>
      </c>
      <c r="C55">
        <f t="shared" ref="C55:I55" si="0">LOG10(C34)</f>
        <v>1.3692158574101427</v>
      </c>
      <c r="D55">
        <f t="shared" si="0"/>
        <v>0.90308998699194354</v>
      </c>
      <c r="E55">
        <f t="shared" si="0"/>
        <v>0.66275783168157409</v>
      </c>
      <c r="F55">
        <f t="shared" si="0"/>
        <v>-0.19382002601611281</v>
      </c>
      <c r="G55">
        <f t="shared" si="0"/>
        <v>-6.5501548756432285E-2</v>
      </c>
      <c r="H55">
        <f t="shared" si="0"/>
        <v>-0.13076828026902382</v>
      </c>
      <c r="I55">
        <f t="shared" si="0"/>
        <v>-0.46852108295774486</v>
      </c>
      <c r="J55">
        <f t="shared" ref="J55:K55" si="1">LOG10(J34)</f>
        <v>-1.1804560644581312</v>
      </c>
      <c r="K55">
        <f t="shared" si="1"/>
        <v>-1.3767507096020994</v>
      </c>
      <c r="L55">
        <f t="shared" ref="L55:N55" si="2">LOG10(L34)</f>
        <v>1.1613680022349748</v>
      </c>
      <c r="M55">
        <f t="shared" si="2"/>
        <v>3.342375548694973E-2</v>
      </c>
      <c r="N55">
        <f t="shared" si="2"/>
        <v>-0.49485002168009401</v>
      </c>
    </row>
    <row r="56" spans="2:15" x14ac:dyDescent="0.15">
      <c r="B56" s="5">
        <v>2</v>
      </c>
      <c r="C56">
        <f t="shared" ref="C56:C64" si="3">LOG10(C35)</f>
        <v>1.5185139398778875</v>
      </c>
      <c r="D56">
        <f t="shared" ref="D56:I70" si="4">LOG10(D35)</f>
        <v>1.0934216851622351</v>
      </c>
      <c r="E56">
        <f t="shared" si="4"/>
        <v>1.0413926851582251</v>
      </c>
      <c r="F56">
        <f t="shared" si="4"/>
        <v>8.9905111439397931E-2</v>
      </c>
      <c r="G56">
        <f t="shared" si="4"/>
        <v>0.1553360374650618</v>
      </c>
      <c r="H56">
        <f t="shared" si="4"/>
        <v>-0.13076828026902382</v>
      </c>
      <c r="I56">
        <f t="shared" si="4"/>
        <v>-0.28399665636520083</v>
      </c>
      <c r="J56">
        <f t="shared" ref="J56:K56" si="5">LOG10(J35)</f>
        <v>-1.3372421683184259</v>
      </c>
      <c r="K56">
        <f t="shared" si="5"/>
        <v>-1.5228787452803376</v>
      </c>
      <c r="L56">
        <f t="shared" ref="L56:N56" si="6">LOG10(L35)</f>
        <v>0.62531245096167387</v>
      </c>
      <c r="M56">
        <f t="shared" si="6"/>
        <v>0.87852179550120646</v>
      </c>
      <c r="N56">
        <f t="shared" si="6"/>
        <v>0.22271647114758325</v>
      </c>
    </row>
    <row r="57" spans="2:15" x14ac:dyDescent="0.15">
      <c r="B57" s="5">
        <v>3</v>
      </c>
      <c r="C57">
        <f t="shared" si="3"/>
        <v>1.2304489213782739</v>
      </c>
      <c r="D57">
        <f t="shared" si="4"/>
        <v>0.61278385671973545</v>
      </c>
      <c r="E57">
        <f t="shared" si="4"/>
        <v>0.3222192947339193</v>
      </c>
      <c r="F57">
        <f t="shared" si="4"/>
        <v>0.3820170425748684</v>
      </c>
      <c r="G57">
        <f t="shared" si="4"/>
        <v>-0.25963731050575611</v>
      </c>
      <c r="H57">
        <f t="shared" si="4"/>
        <v>-9.6910013008056392E-2</v>
      </c>
      <c r="I57">
        <f t="shared" si="4"/>
        <v>-1.1191864077192086</v>
      </c>
      <c r="J57">
        <f t="shared" ref="J57:K57" si="7">LOG10(J36)</f>
        <v>-1.2146701649892331</v>
      </c>
      <c r="K57">
        <f t="shared" si="7"/>
        <v>-1.3979400086720375</v>
      </c>
      <c r="L57">
        <f t="shared" ref="L57:N57" si="8">LOG10(L36)</f>
        <v>-0.37675070960209955</v>
      </c>
      <c r="M57">
        <f t="shared" si="8"/>
        <v>-0.3010299956639812</v>
      </c>
      <c r="N57">
        <f t="shared" si="8"/>
        <v>-0.81815641205522749</v>
      </c>
    </row>
    <row r="58" spans="2:15" x14ac:dyDescent="0.15">
      <c r="B58" s="5">
        <v>4</v>
      </c>
      <c r="C58">
        <f t="shared" si="3"/>
        <v>0.93449845124356767</v>
      </c>
      <c r="D58">
        <f t="shared" si="4"/>
        <v>0.89762709129044149</v>
      </c>
      <c r="E58">
        <f t="shared" si="4"/>
        <v>0.44715803134221921</v>
      </c>
      <c r="F58">
        <f t="shared" si="4"/>
        <v>0.40140054078154408</v>
      </c>
      <c r="G58">
        <f t="shared" si="4"/>
        <v>-0.40893539297350079</v>
      </c>
      <c r="H58">
        <f t="shared" si="4"/>
        <v>2.1189299069938092E-2</v>
      </c>
      <c r="I58">
        <f t="shared" si="4"/>
        <v>-1.2596373105057561</v>
      </c>
      <c r="J58">
        <f t="shared" ref="J58:K58" si="9">LOG10(J37)</f>
        <v>-1.3565473235138126</v>
      </c>
      <c r="K58">
        <f t="shared" si="9"/>
        <v>-1.5528419686577808</v>
      </c>
      <c r="L58">
        <f t="shared" ref="L58:N58" si="10">LOG10(L37)</f>
        <v>0.19948091486235589</v>
      </c>
      <c r="M58">
        <f t="shared" si="10"/>
        <v>-0.76195389687120463</v>
      </c>
      <c r="N58">
        <f t="shared" si="10"/>
        <v>-0.99567862621735737</v>
      </c>
    </row>
    <row r="59" spans="2:15" x14ac:dyDescent="0.15">
      <c r="B59" s="5">
        <v>5</v>
      </c>
      <c r="C59">
        <f t="shared" si="3"/>
        <v>1.4533183400470377</v>
      </c>
      <c r="D59">
        <f t="shared" si="4"/>
        <v>1.0086001717619175</v>
      </c>
      <c r="E59">
        <f t="shared" si="4"/>
        <v>1.0681858617461617</v>
      </c>
      <c r="F59">
        <f t="shared" si="4"/>
        <v>0.52244423350631986</v>
      </c>
      <c r="G59">
        <f t="shared" si="4"/>
        <v>-1.031517051446065</v>
      </c>
      <c r="H59">
        <f t="shared" si="4"/>
        <v>-0.11350927482751812</v>
      </c>
      <c r="I59">
        <f t="shared" si="4"/>
        <v>-1.1549019599857431</v>
      </c>
      <c r="J59">
        <f t="shared" ref="J59:K59" si="11">LOG10(J38)</f>
        <v>-1.2365720064370627</v>
      </c>
      <c r="K59">
        <f t="shared" si="11"/>
        <v>-1.4436974992327127</v>
      </c>
      <c r="L59">
        <f t="shared" ref="L59:N59" si="12">LOG10(L38)</f>
        <v>0.1099158630237933</v>
      </c>
      <c r="M59">
        <f t="shared" si="12"/>
        <v>-0.8507808873446201</v>
      </c>
      <c r="N59">
        <f t="shared" si="12"/>
        <v>-0.88941028970075098</v>
      </c>
    </row>
    <row r="60" spans="2:15" x14ac:dyDescent="0.15">
      <c r="B60" s="5">
        <v>6</v>
      </c>
      <c r="C60">
        <f t="shared" si="3"/>
        <v>1.7543483357110188</v>
      </c>
      <c r="D60">
        <f t="shared" si="4"/>
        <v>1.3096301674258988</v>
      </c>
      <c r="E60">
        <f t="shared" si="4"/>
        <v>0.9956351945975499</v>
      </c>
      <c r="F60">
        <f t="shared" si="4"/>
        <v>0.42488163663106698</v>
      </c>
      <c r="G60">
        <f t="shared" si="4"/>
        <v>-1.0506099933550872</v>
      </c>
      <c r="H60">
        <f t="shared" si="4"/>
        <v>0.45484486000851021</v>
      </c>
      <c r="I60">
        <f t="shared" si="4"/>
        <v>-1.2676062401770316</v>
      </c>
      <c r="J60">
        <f t="shared" ref="J60:K60" si="13">LOG10(J39)</f>
        <v>-1.3979400086720375</v>
      </c>
      <c r="K60">
        <f t="shared" si="13"/>
        <v>-1.585026652029182</v>
      </c>
      <c r="L60">
        <f t="shared" ref="L60:N66" si="14">LOG10(L39)</f>
        <v>0.14798532068380513</v>
      </c>
      <c r="M60">
        <f t="shared" si="14"/>
        <v>-0.77989191195994489</v>
      </c>
      <c r="N60">
        <f t="shared" si="14"/>
        <v>-1.1079053973095196</v>
      </c>
    </row>
    <row r="61" spans="2:15" x14ac:dyDescent="0.15">
      <c r="B61" s="5">
        <v>7</v>
      </c>
      <c r="C61">
        <f t="shared" si="3"/>
        <v>1.0863598306747482</v>
      </c>
      <c r="D61">
        <f t="shared" si="4"/>
        <v>1.2329961103921538</v>
      </c>
      <c r="E61">
        <f t="shared" si="4"/>
        <v>0.46239799789895608</v>
      </c>
      <c r="F61">
        <f t="shared" si="4"/>
        <v>-6.5501548756432285E-2</v>
      </c>
      <c r="G61">
        <f t="shared" si="4"/>
        <v>0.12710479836480765</v>
      </c>
      <c r="H61">
        <f t="shared" si="4"/>
        <v>-1.0655015487564323</v>
      </c>
      <c r="I61">
        <f t="shared" si="4"/>
        <v>-1.2006594505464183</v>
      </c>
      <c r="L61">
        <f t="shared" si="14"/>
        <v>7.3351702386900947E-2</v>
      </c>
      <c r="M61">
        <f t="shared" si="14"/>
        <v>-0.91364016932525183</v>
      </c>
      <c r="N61">
        <f t="shared" si="14"/>
        <v>-0.98716277529482777</v>
      </c>
    </row>
    <row r="62" spans="2:15" x14ac:dyDescent="0.15">
      <c r="B62" s="5">
        <v>8</v>
      </c>
      <c r="C62">
        <f t="shared" si="3"/>
        <v>3.1931245983544616</v>
      </c>
      <c r="D62">
        <f t="shared" si="4"/>
        <v>0.28375338333252653</v>
      </c>
      <c r="E62">
        <f t="shared" si="4"/>
        <v>-0.18842499412940666</v>
      </c>
      <c r="F62">
        <f t="shared" si="4"/>
        <v>-0.77211329538632645</v>
      </c>
      <c r="G62">
        <f t="shared" si="4"/>
        <v>0.40140054078154408</v>
      </c>
      <c r="H62">
        <f t="shared" si="4"/>
        <v>-1.1249387366082999</v>
      </c>
      <c r="I62">
        <f t="shared" si="4"/>
        <v>-1.3372421683184259</v>
      </c>
      <c r="L62">
        <f t="shared" si="14"/>
        <v>2.1189299069938092E-2</v>
      </c>
      <c r="M62">
        <f t="shared" si="14"/>
        <v>-0.82973828460504262</v>
      </c>
      <c r="N62">
        <f t="shared" si="14"/>
        <v>-1.1487416512809248</v>
      </c>
    </row>
    <row r="63" spans="2:15" x14ac:dyDescent="0.15">
      <c r="B63" s="5">
        <v>9</v>
      </c>
      <c r="C63">
        <f t="shared" si="3"/>
        <v>3.5301996982030821</v>
      </c>
      <c r="D63">
        <f t="shared" si="4"/>
        <v>0.32613095671079462</v>
      </c>
      <c r="E63">
        <f t="shared" si="4"/>
        <v>-0.11125903931710739</v>
      </c>
      <c r="F63">
        <f t="shared" si="4"/>
        <v>-0.61798295742513165</v>
      </c>
      <c r="G63">
        <f t="shared" si="4"/>
        <v>-0.95860731484177497</v>
      </c>
      <c r="H63">
        <f t="shared" si="4"/>
        <v>-1.0861861476162833</v>
      </c>
      <c r="L63">
        <f t="shared" si="14"/>
        <v>-4.6240308266771224E-2</v>
      </c>
      <c r="M63">
        <f t="shared" si="14"/>
        <v>-0.9244530386074693</v>
      </c>
      <c r="N63">
        <f t="shared" si="14"/>
        <v>0.81224469680036926</v>
      </c>
    </row>
    <row r="64" spans="2:15" x14ac:dyDescent="0.15">
      <c r="B64" s="5">
        <v>10</v>
      </c>
      <c r="C64">
        <f t="shared" si="3"/>
        <v>2.8847953639489812</v>
      </c>
      <c r="D64">
        <f t="shared" si="4"/>
        <v>0.19700472802304578</v>
      </c>
      <c r="E64">
        <f t="shared" si="4"/>
        <v>-0.22257317761068865</v>
      </c>
      <c r="F64">
        <f t="shared" si="4"/>
        <v>-0.89619627904404309</v>
      </c>
      <c r="G64">
        <f t="shared" si="4"/>
        <v>-0.94692155651658028</v>
      </c>
      <c r="H64">
        <f t="shared" si="4"/>
        <v>-1.2218487496163564</v>
      </c>
      <c r="L64">
        <f t="shared" si="14"/>
        <v>2.0086001717619175</v>
      </c>
      <c r="M64">
        <f t="shared" si="14"/>
        <v>1.6646419755561255</v>
      </c>
      <c r="N64">
        <f t="shared" si="14"/>
        <v>0.6821450763738317</v>
      </c>
    </row>
    <row r="65" spans="2:14" x14ac:dyDescent="0.15">
      <c r="B65" s="5">
        <v>11</v>
      </c>
      <c r="D65">
        <f t="shared" si="4"/>
        <v>0.23121464796260105</v>
      </c>
      <c r="E65">
        <f t="shared" si="4"/>
        <v>-0.16241156176448873</v>
      </c>
      <c r="F65">
        <f t="shared" si="4"/>
        <v>-0.66154350639539516</v>
      </c>
      <c r="G65">
        <f t="shared" si="4"/>
        <v>-0.78251605578609373</v>
      </c>
      <c r="H65">
        <f t="shared" si="4"/>
        <v>-1.1870866433571443</v>
      </c>
      <c r="L65">
        <f t="shared" si="14"/>
        <v>2.4996870826184039</v>
      </c>
      <c r="M65">
        <f t="shared" si="14"/>
        <v>1.2479732663618066</v>
      </c>
      <c r="N65">
        <f t="shared" si="14"/>
        <v>-0.11975822410451964</v>
      </c>
    </row>
    <row r="66" spans="2:14" x14ac:dyDescent="0.15">
      <c r="B66" s="5">
        <v>12</v>
      </c>
      <c r="D66">
        <f t="shared" si="4"/>
        <v>-5.2430554123718831E-3</v>
      </c>
      <c r="E66">
        <f t="shared" si="4"/>
        <v>-0.2479515521805615</v>
      </c>
      <c r="F66">
        <f t="shared" si="4"/>
        <v>-0.97881070093006195</v>
      </c>
      <c r="G66">
        <f t="shared" si="4"/>
        <v>-1.0655015487564323</v>
      </c>
      <c r="H66">
        <f t="shared" si="4"/>
        <v>-1.2839966563652008</v>
      </c>
      <c r="L66">
        <f t="shared" si="14"/>
        <v>1.7656685547590141</v>
      </c>
      <c r="M66">
        <f t="shared" si="14"/>
        <v>0.54654266347813107</v>
      </c>
    </row>
    <row r="67" spans="2:14" x14ac:dyDescent="0.15">
      <c r="B67" s="5">
        <v>13</v>
      </c>
      <c r="D67">
        <f t="shared" si="4"/>
        <v>6.6325925362037796E-2</v>
      </c>
      <c r="E67">
        <f t="shared" si="4"/>
        <v>-0.20134935455473107</v>
      </c>
      <c r="F67">
        <f t="shared" si="4"/>
        <v>-0.69897000433601875</v>
      </c>
      <c r="G67">
        <f t="shared" si="4"/>
        <v>-0.94692155651658028</v>
      </c>
      <c r="H67">
        <f t="shared" si="4"/>
        <v>1.0606978403536116</v>
      </c>
    </row>
    <row r="68" spans="2:14" x14ac:dyDescent="0.15">
      <c r="B68" s="5">
        <v>14</v>
      </c>
      <c r="D68">
        <f t="shared" si="4"/>
        <v>2.9132839017604186</v>
      </c>
      <c r="E68">
        <f t="shared" si="4"/>
        <v>2.6180480967120925</v>
      </c>
      <c r="F68">
        <f t="shared" si="4"/>
        <v>2.0863598306747484</v>
      </c>
      <c r="G68">
        <f t="shared" si="4"/>
        <v>-1.1611509092627446</v>
      </c>
      <c r="H68">
        <f t="shared" si="4"/>
        <v>0.21748394421390627</v>
      </c>
    </row>
    <row r="69" spans="2:14" x14ac:dyDescent="0.15">
      <c r="B69" s="5">
        <v>15</v>
      </c>
      <c r="D69">
        <f t="shared" si="4"/>
        <v>3.1139433523068369</v>
      </c>
      <c r="E69">
        <f t="shared" si="4"/>
        <v>2.5065050324048719</v>
      </c>
      <c r="F69">
        <f t="shared" si="4"/>
        <v>1.5403294747908738</v>
      </c>
      <c r="G69">
        <f t="shared" si="4"/>
        <v>-0.96657624451305035</v>
      </c>
      <c r="H69">
        <f t="shared" si="4"/>
        <v>-2.7797161620935564E-2</v>
      </c>
    </row>
    <row r="70" spans="2:14" x14ac:dyDescent="0.15">
      <c r="B70" s="5">
        <v>16</v>
      </c>
      <c r="D70">
        <f t="shared" si="4"/>
        <v>2.4969296480732148</v>
      </c>
      <c r="E70">
        <f t="shared" si="4"/>
        <v>1.8561244442423004</v>
      </c>
      <c r="F70">
        <f t="shared" si="4"/>
        <v>0.86093662070009369</v>
      </c>
      <c r="G70">
        <f t="shared" si="4"/>
        <v>1.5428254269591799</v>
      </c>
    </row>
    <row r="71" spans="2:14" x14ac:dyDescent="0.15">
      <c r="B71" s="5">
        <v>17</v>
      </c>
      <c r="G71">
        <f t="shared" ref="G71" si="15">LOG10(G50)</f>
        <v>0.63346845557958653</v>
      </c>
    </row>
    <row r="72" spans="2:14" x14ac:dyDescent="0.15">
      <c r="B72" s="5">
        <v>18</v>
      </c>
    </row>
  </sheetData>
  <mergeCells count="1">
    <mergeCell ref="C3:O3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TF</vt:lpstr>
      <vt:lpstr>BCF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2020-06-14T21:31:59Z</dcterms:modified>
</cp:coreProperties>
</file>