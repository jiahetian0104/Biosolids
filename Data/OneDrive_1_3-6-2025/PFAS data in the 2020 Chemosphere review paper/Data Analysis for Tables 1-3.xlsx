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825" yWindow="-75" windowWidth="20730" windowHeight="11730"/>
  </bookViews>
  <sheets>
    <sheet name="Sheet2" sheetId="2" r:id="rId1"/>
    <sheet name="Sheet1" sheetId="1" r:id="rId2"/>
  </sheets>
  <definedNames>
    <definedName name="_xlnm._FilterDatabase" localSheetId="0" hidden="1">Sheet2!$B$137:$B$155</definedName>
    <definedName name="ExternalData_1" localSheetId="0" hidden="1">Sheet2!#REF!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77" i="2" l="1"/>
  <c r="O78" i="2"/>
  <c r="O79" i="2"/>
  <c r="O76" i="2"/>
  <c r="L14" i="2"/>
  <c r="L15" i="2"/>
  <c r="L16" i="2"/>
  <c r="L13" i="2"/>
  <c r="L7" i="2"/>
  <c r="L8" i="2"/>
  <c r="L9" i="2"/>
  <c r="L3" i="2"/>
  <c r="L4" i="2"/>
  <c r="L5" i="2"/>
  <c r="L10" i="2"/>
  <c r="L2" i="2"/>
  <c r="L11" i="2"/>
  <c r="L6" i="2"/>
  <c r="O26" i="2"/>
  <c r="O27" i="2"/>
  <c r="O28" i="2"/>
  <c r="O16" i="2"/>
  <c r="O29" i="2"/>
  <c r="O30" i="2"/>
  <c r="O31" i="2"/>
  <c r="O32" i="2"/>
  <c r="O33" i="2"/>
  <c r="O7" i="2"/>
  <c r="O34" i="2"/>
  <c r="O35" i="2"/>
  <c r="O36" i="2"/>
  <c r="O8" i="2"/>
  <c r="O17" i="2"/>
  <c r="O12" i="2"/>
  <c r="O37" i="2"/>
  <c r="O38" i="2"/>
  <c r="O39" i="2"/>
  <c r="O40" i="2"/>
  <c r="O41" i="2"/>
  <c r="O42" i="2"/>
  <c r="O13" i="2"/>
  <c r="O43" i="2"/>
  <c r="O18" i="2"/>
  <c r="O44" i="2"/>
  <c r="O45" i="2"/>
  <c r="O46" i="2"/>
  <c r="O47" i="2"/>
  <c r="O48" i="2"/>
  <c r="O4" i="2"/>
  <c r="O49" i="2"/>
  <c r="O50" i="2"/>
  <c r="O3" i="2"/>
  <c r="O51" i="2"/>
  <c r="O52" i="2"/>
  <c r="O53" i="2"/>
  <c r="O54" i="2"/>
  <c r="O55" i="2"/>
  <c r="O56" i="2"/>
  <c r="O14" i="2"/>
  <c r="O9" i="2"/>
  <c r="O10" i="2"/>
  <c r="O11" i="2"/>
  <c r="O57" i="2"/>
  <c r="O58" i="2"/>
  <c r="O59" i="2"/>
  <c r="O6" i="2"/>
  <c r="O60" i="2"/>
  <c r="O19" i="2"/>
  <c r="O61" i="2"/>
  <c r="O62" i="2"/>
  <c r="O20" i="2"/>
  <c r="O5" i="2"/>
  <c r="O63" i="2"/>
  <c r="O64" i="2"/>
  <c r="O2" i="2"/>
  <c r="O65" i="2"/>
  <c r="O66" i="2"/>
  <c r="O21" i="2"/>
  <c r="O15" i="2"/>
  <c r="O22" i="2"/>
  <c r="O23" i="2"/>
  <c r="O24" i="2"/>
  <c r="O67" i="2"/>
  <c r="O68" i="2"/>
  <c r="O69" i="2"/>
  <c r="O70" i="2"/>
  <c r="O71" i="2"/>
  <c r="O72" i="2"/>
  <c r="O73" i="2"/>
  <c r="O74" i="2"/>
  <c r="O25" i="2"/>
  <c r="I26" i="2"/>
  <c r="I27" i="2"/>
  <c r="I28" i="2"/>
  <c r="I25" i="2"/>
  <c r="I14" i="2"/>
  <c r="I7" i="2"/>
  <c r="I8" i="2"/>
  <c r="I15" i="2"/>
  <c r="I16" i="2"/>
  <c r="I9" i="2"/>
  <c r="I3" i="2"/>
  <c r="I4" i="2"/>
  <c r="I10" i="2"/>
  <c r="I17" i="2"/>
  <c r="I18" i="2"/>
  <c r="I11" i="2"/>
  <c r="I6" i="2"/>
  <c r="I19" i="2"/>
  <c r="I20" i="2"/>
  <c r="I12" i="2"/>
  <c r="I21" i="2"/>
  <c r="I22" i="2"/>
  <c r="I13" i="2"/>
  <c r="I2" i="2"/>
  <c r="I23" i="2"/>
  <c r="I5" i="2"/>
  <c r="F67" i="2"/>
  <c r="F65" i="2"/>
  <c r="F66" i="2"/>
  <c r="F64" i="2"/>
  <c r="F9" i="2"/>
  <c r="F10" i="2"/>
  <c r="F30" i="2"/>
  <c r="F31" i="2"/>
  <c r="F32" i="2"/>
  <c r="F33" i="2"/>
  <c r="F34" i="2"/>
  <c r="F35" i="2"/>
  <c r="F11" i="2"/>
  <c r="F36" i="2"/>
  <c r="F17" i="2"/>
  <c r="F12" i="2"/>
  <c r="F37" i="2"/>
  <c r="F38" i="2"/>
  <c r="F21" i="2"/>
  <c r="F24" i="2"/>
  <c r="F25" i="2"/>
  <c r="F39" i="2"/>
  <c r="F40" i="2"/>
  <c r="F41" i="2"/>
  <c r="F7" i="2"/>
  <c r="F42" i="2"/>
  <c r="F43" i="2"/>
  <c r="F26" i="2"/>
  <c r="F3" i="2"/>
  <c r="F2" i="2"/>
  <c r="F44" i="2"/>
  <c r="F45" i="2"/>
  <c r="F46" i="2"/>
  <c r="F47" i="2"/>
  <c r="F48" i="2"/>
  <c r="F22" i="2"/>
  <c r="F49" i="2"/>
  <c r="F8" i="2"/>
  <c r="F18" i="2"/>
  <c r="F13" i="2"/>
  <c r="F14" i="2"/>
  <c r="F50" i="2"/>
  <c r="F51" i="2"/>
  <c r="F52" i="2"/>
  <c r="F53" i="2"/>
  <c r="F23" i="2"/>
  <c r="F27" i="2"/>
  <c r="F28" i="2"/>
  <c r="F15" i="2"/>
  <c r="F54" i="2"/>
  <c r="F55" i="2"/>
  <c r="F56" i="2"/>
  <c r="F29" i="2"/>
  <c r="F57" i="2"/>
  <c r="F16" i="2"/>
  <c r="F4" i="2"/>
  <c r="F58" i="2"/>
  <c r="F6" i="2"/>
  <c r="F19" i="2"/>
  <c r="F59" i="2"/>
  <c r="F5" i="2"/>
  <c r="F20" i="2"/>
  <c r="F60" i="2"/>
  <c r="F61" i="2"/>
  <c r="F62" i="2"/>
</calcChain>
</file>

<file path=xl/comments1.xml><?xml version="1.0" encoding="utf-8"?>
<comments xmlns="http://schemas.openxmlformats.org/spreadsheetml/2006/main">
  <authors>
    <author>Geoff</author>
  </authors>
  <commentList>
    <comment ref="H1" authorId="0">
      <text>
        <r>
          <rPr>
            <b/>
            <sz val="9"/>
            <color indexed="81"/>
            <rFont val="Tahoma"/>
            <family val="2"/>
          </rPr>
          <t>Geoff:</t>
        </r>
        <r>
          <rPr>
            <sz val="9"/>
            <color indexed="81"/>
            <rFont val="Tahoma"/>
            <family val="2"/>
          </rPr>
          <t xml:space="preserve">
Two studies used multiple lettuce cultivars one with 20 and one with 26 separate cultivars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Geoff:</t>
        </r>
        <r>
          <rPr>
            <sz val="9"/>
            <color indexed="81"/>
            <rFont val="Tahoma"/>
            <family val="2"/>
          </rPr>
          <t xml:space="preserve">
Two studies used multiple lettuce cultivars one with 20 and one with 26 separate cultivars</t>
        </r>
      </text>
    </comment>
    <comment ref="B39" authorId="0">
      <text>
        <r>
          <rPr>
            <b/>
            <sz val="9"/>
            <color indexed="81"/>
            <rFont val="Tahoma"/>
            <family val="2"/>
          </rPr>
          <t>Geoff:</t>
        </r>
        <r>
          <rPr>
            <sz val="9"/>
            <color indexed="81"/>
            <rFont val="Tahoma"/>
            <family val="2"/>
          </rPr>
          <t xml:space="preserve">
this is a vegetable technically, it isnt typically cultivated</t>
        </r>
      </text>
    </comment>
    <comment ref="B45" authorId="0">
      <text>
        <r>
          <rPr>
            <b/>
            <sz val="9"/>
            <color indexed="81"/>
            <rFont val="Tahoma"/>
            <family val="2"/>
          </rPr>
          <t>Geoff:</t>
        </r>
        <r>
          <rPr>
            <sz val="9"/>
            <color indexed="81"/>
            <rFont val="Tahoma"/>
            <family val="2"/>
          </rPr>
          <t xml:space="preserve">
not edible as far as I can find</t>
        </r>
      </text>
    </comment>
    <comment ref="B46" authorId="0">
      <text>
        <r>
          <rPr>
            <b/>
            <sz val="9"/>
            <color indexed="81"/>
            <rFont val="Tahoma"/>
            <family val="2"/>
          </rPr>
          <t>Geoff:</t>
        </r>
        <r>
          <rPr>
            <sz val="9"/>
            <color indexed="81"/>
            <rFont val="Tahoma"/>
            <family val="2"/>
          </rPr>
          <t xml:space="preserve">
not edible as far as I can find</t>
        </r>
      </text>
    </comment>
    <comment ref="B66" authorId="0">
      <text>
        <r>
          <rPr>
            <b/>
            <sz val="9"/>
            <color indexed="81"/>
            <rFont val="Tahoma"/>
            <family val="2"/>
          </rPr>
          <t>Geoff:</t>
        </r>
        <r>
          <rPr>
            <sz val="9"/>
            <color indexed="81"/>
            <rFont val="Tahoma"/>
            <family val="2"/>
          </rPr>
          <t xml:space="preserve">
not edible as far as I can find</t>
        </r>
      </text>
    </comment>
    <comment ref="B93" authorId="0">
      <text>
        <r>
          <rPr>
            <b/>
            <sz val="9"/>
            <color indexed="81"/>
            <rFont val="Tahoma"/>
            <family val="2"/>
          </rPr>
          <t>Geoff:</t>
        </r>
        <r>
          <rPr>
            <sz val="9"/>
            <color indexed="81"/>
            <rFont val="Tahoma"/>
            <family val="2"/>
          </rPr>
          <t xml:space="preserve">
this is hard to classify, it can be used as forage, but it is also used to produce vegetable oil (from crushing the seeds)
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plants" description="Connection to the 'plants' query in the workbook." type="5" refreshedVersion="6" background="1">
    <dbPr connection="Provider=Microsoft.Mashup.OleDb.1;Data Source=$Workbook$;Location=plants;Extended Properties=&quot;&quot;" command="SELECT * FROM [plants]"/>
  </connection>
</connections>
</file>

<file path=xl/sharedStrings.xml><?xml version="1.0" encoding="utf-8"?>
<sst xmlns="http://schemas.openxmlformats.org/spreadsheetml/2006/main" count="660" uniqueCount="116">
  <si>
    <t>Tomato</t>
  </si>
  <si>
    <t>cucumber</t>
  </si>
  <si>
    <t>eggplant</t>
  </si>
  <si>
    <t>pepper</t>
  </si>
  <si>
    <t>cabbage</t>
  </si>
  <si>
    <t>Camphor</t>
  </si>
  <si>
    <t>cypresses</t>
  </si>
  <si>
    <t>magnolia</t>
  </si>
  <si>
    <t>Wheat</t>
  </si>
  <si>
    <t>maize</t>
  </si>
  <si>
    <t>Radish</t>
  </si>
  <si>
    <t>carrot</t>
  </si>
  <si>
    <t>Chinese chives</t>
  </si>
  <si>
    <t>lettuce</t>
  </si>
  <si>
    <t>Welsh onion</t>
  </si>
  <si>
    <t>celery</t>
  </si>
  <si>
    <t>cauliflower</t>
  </si>
  <si>
    <t>pumpkin</t>
  </si>
  <si>
    <t>wheat</t>
  </si>
  <si>
    <t>soybean</t>
  </si>
  <si>
    <t>Sedges</t>
  </si>
  <si>
    <t>sumac</t>
  </si>
  <si>
    <t>rice</t>
  </si>
  <si>
    <t>Yam</t>
  </si>
  <si>
    <t>sugarcane</t>
  </si>
  <si>
    <t>Silver birch</t>
  </si>
  <si>
    <t>Norway spruce</t>
  </si>
  <si>
    <t>bird cherry</t>
  </si>
  <si>
    <t>mountain ash</t>
  </si>
  <si>
    <t>ground elder</t>
  </si>
  <si>
    <t>long beechfern</t>
  </si>
  <si>
    <t>Lettuce</t>
  </si>
  <si>
    <t>tomato</t>
  </si>
  <si>
    <t>Maize</t>
  </si>
  <si>
    <t>Tall fescue</t>
  </si>
  <si>
    <t>barley</t>
  </si>
  <si>
    <t>Chinese pine</t>
  </si>
  <si>
    <t>oriental plane</t>
  </si>
  <si>
    <t>abele</t>
  </si>
  <si>
    <t>Canadian poplar</t>
  </si>
  <si>
    <t>Chinese scholartree</t>
  </si>
  <si>
    <t>weeping willow</t>
  </si>
  <si>
    <t>Chinese red pine</t>
  </si>
  <si>
    <t>Carrot</t>
  </si>
  <si>
    <t>onion</t>
  </si>
  <si>
    <t>zucchinis</t>
  </si>
  <si>
    <t>broccoli</t>
  </si>
  <si>
    <t>spinach</t>
  </si>
  <si>
    <t>chicory</t>
  </si>
  <si>
    <t>asparagus</t>
  </si>
  <si>
    <t>fennel</t>
  </si>
  <si>
    <t>potato</t>
  </si>
  <si>
    <t>pea</t>
  </si>
  <si>
    <t>bean</t>
  </si>
  <si>
    <t>Eucalyptus</t>
  </si>
  <si>
    <t>Banana</t>
  </si>
  <si>
    <t>apple</t>
  </si>
  <si>
    <t>lemon</t>
  </si>
  <si>
    <t>orange</t>
  </si>
  <si>
    <t>cherry</t>
  </si>
  <si>
    <t>strawberry</t>
  </si>
  <si>
    <t>beetroot</t>
  </si>
  <si>
    <t>Alfalfa</t>
  </si>
  <si>
    <t>Italian ryegrass</t>
  </si>
  <si>
    <t>mung bean</t>
  </si>
  <si>
    <t>radish</t>
  </si>
  <si>
    <t>sugar snap pea</t>
  </si>
  <si>
    <t>lettuce (20)</t>
  </si>
  <si>
    <t>Lettuce (26)</t>
  </si>
  <si>
    <t>oats</t>
  </si>
  <si>
    <t>rye</t>
  </si>
  <si>
    <t>canola</t>
  </si>
  <si>
    <t>Red chicory</t>
  </si>
  <si>
    <t>Pumpkin</t>
  </si>
  <si>
    <t>Arabidopsis thaliana</t>
  </si>
  <si>
    <t>Soybean</t>
  </si>
  <si>
    <t>grass</t>
  </si>
  <si>
    <t>Field</t>
  </si>
  <si>
    <t>Pot</t>
  </si>
  <si>
    <t>Hydroponic</t>
  </si>
  <si>
    <t>Cabbage</t>
  </si>
  <si>
    <t>ALL</t>
  </si>
  <si>
    <t>Raw List</t>
  </si>
  <si>
    <t>Vegetable</t>
  </si>
  <si>
    <t>Fruit</t>
  </si>
  <si>
    <t>Grain</t>
  </si>
  <si>
    <t>Tree</t>
  </si>
  <si>
    <t>Forage</t>
  </si>
  <si>
    <t>All Studies Crop Type</t>
  </si>
  <si>
    <t>Hydroponic Studies Crop Type</t>
  </si>
  <si>
    <t>Pot Studies Crop Type</t>
  </si>
  <si>
    <t>Canada wildrye</t>
  </si>
  <si>
    <t>wild strawberry</t>
  </si>
  <si>
    <t>bermuda grass</t>
  </si>
  <si>
    <t>Kentucky bluegrass</t>
  </si>
  <si>
    <t>Wheat grass</t>
  </si>
  <si>
    <t>tall fescue</t>
  </si>
  <si>
    <t>vegetable</t>
  </si>
  <si>
    <t>perennial ryegrass</t>
  </si>
  <si>
    <t># of Times Appearing in a Field Study</t>
  </si>
  <si>
    <t># of times Appearing in a Pot Study</t>
  </si>
  <si>
    <t># of Times appearing in a Hydroponic Study</t>
  </si>
  <si>
    <t># of Times appearing in all Studies</t>
  </si>
  <si>
    <t># of unigue species appearing in Field studies</t>
  </si>
  <si>
    <t># of unigue species appearing in Pot studies</t>
  </si>
  <si>
    <t xml:space="preserve"># of unigue species appearing in All Studies </t>
  </si>
  <si>
    <t># of unigue species appearing in Hydroponic studies</t>
  </si>
  <si>
    <t>Raw Crop Type</t>
  </si>
  <si>
    <t>Crop Type Pot</t>
  </si>
  <si>
    <t>Crop Type Field</t>
  </si>
  <si>
    <t>Crop Type Hydroponic</t>
  </si>
  <si>
    <t>Crop Type All</t>
  </si>
  <si>
    <t>oat</t>
    <phoneticPr fontId="5" type="noConversion"/>
  </si>
  <si>
    <t>Grain</t>
    <phoneticPr fontId="5" type="noConversion"/>
  </si>
  <si>
    <t>sugar snap pea</t>
    <phoneticPr fontId="5" type="noConversion"/>
  </si>
  <si>
    <t>Forage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</si>
</sst>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等线"/>
      <family val="2"/>
      <scheme val="minor"/>
    </font>
    <font>
      <b/>
      <sz val="14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0" xfId="0" applyFill="1"/>
    <xf numFmtId="0" fontId="0" fillId="5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3" borderId="0" xfId="0" applyNumberFormat="1" applyFill="1" applyBorder="1"/>
    <xf numFmtId="0" fontId="0" fillId="3" borderId="0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6" borderId="0" xfId="0" applyFill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4" xfId="0" applyBorder="1"/>
    <xf numFmtId="0" fontId="0" fillId="3" borderId="5" xfId="0" applyNumberFormat="1" applyFill="1" applyBorder="1"/>
    <xf numFmtId="0" fontId="0" fillId="2" borderId="5" xfId="0" applyNumberFormat="1" applyFill="1" applyBorder="1"/>
    <xf numFmtId="0" fontId="0" fillId="4" borderId="5" xfId="0" applyNumberFormat="1" applyFill="1" applyBorder="1"/>
    <xf numFmtId="0" fontId="0" fillId="0" borderId="6" xfId="0" applyBorder="1"/>
    <xf numFmtId="0" fontId="0" fillId="4" borderId="7" xfId="0" applyNumberFormat="1" applyFill="1" applyBorder="1"/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0" fillId="8" borderId="8" xfId="0" applyFill="1" applyBorder="1"/>
    <xf numFmtId="0" fontId="0" fillId="7" borderId="0" xfId="0" applyFill="1"/>
    <xf numFmtId="0" fontId="1" fillId="7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0" fillId="3" borderId="0" xfId="0" applyFill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27"/>
  <sheetViews>
    <sheetView tabSelected="1" topLeftCell="H4" workbookViewId="0">
      <selection activeCell="R12" sqref="R12"/>
    </sheetView>
  </sheetViews>
  <sheetFormatPr defaultRowHeight="13.5"/>
  <cols>
    <col min="2" max="2" width="14.875" customWidth="1"/>
    <col min="3" max="3" width="4.75" style="22" customWidth="1"/>
    <col min="4" max="4" width="14" style="27" customWidth="1"/>
    <col min="5" max="5" width="16.5" style="27" customWidth="1"/>
    <col min="6" max="7" width="15" style="27" customWidth="1"/>
    <col min="8" max="8" width="20.125" customWidth="1"/>
    <col min="9" max="10" width="13.5" customWidth="1"/>
    <col min="11" max="11" width="19.625" customWidth="1"/>
    <col min="12" max="12" width="13.5" customWidth="1"/>
    <col min="13" max="13" width="13.5" style="27" customWidth="1"/>
    <col min="14" max="16" width="11.75" bestFit="1" customWidth="1"/>
    <col min="17" max="17" width="13.875" bestFit="1" customWidth="1"/>
    <col min="18" max="27" width="11.75" bestFit="1" customWidth="1"/>
    <col min="28" max="28" width="14.375" bestFit="1" customWidth="1"/>
    <col min="29" max="34" width="11.75" bestFit="1" customWidth="1"/>
    <col min="35" max="35" width="13.875" bestFit="1" customWidth="1"/>
    <col min="36" max="36" width="11.75" bestFit="1" customWidth="1"/>
    <col min="37" max="37" width="12.75" bestFit="1" customWidth="1"/>
    <col min="38" max="38" width="12.125" bestFit="1" customWidth="1"/>
    <col min="39" max="39" width="14.125" bestFit="1" customWidth="1"/>
    <col min="40" max="40" width="14.5" bestFit="1" customWidth="1"/>
    <col min="41" max="50" width="11.75" bestFit="1" customWidth="1"/>
    <col min="51" max="51" width="13.5" bestFit="1" customWidth="1"/>
    <col min="52" max="52" width="17.75" bestFit="1" customWidth="1"/>
    <col min="53" max="53" width="12.25" bestFit="1" customWidth="1"/>
    <col min="54" max="54" width="13.25" bestFit="1" customWidth="1"/>
    <col min="55" max="55" width="11.75" bestFit="1" customWidth="1"/>
    <col min="56" max="56" width="15" bestFit="1" customWidth="1"/>
    <col min="57" max="57" width="18.375" bestFit="1" customWidth="1"/>
    <col min="58" max="58" width="14.875" bestFit="1" customWidth="1"/>
    <col min="59" max="59" width="15.625" bestFit="1" customWidth="1"/>
    <col min="60" max="91" width="11.75" bestFit="1" customWidth="1"/>
    <col min="92" max="92" width="14" bestFit="1" customWidth="1"/>
    <col min="93" max="102" width="11.75" bestFit="1" customWidth="1"/>
    <col min="103" max="107" width="12.75" bestFit="1" customWidth="1"/>
    <col min="108" max="108" width="13.75" bestFit="1" customWidth="1"/>
    <col min="109" max="122" width="12.75" bestFit="1" customWidth="1"/>
    <col min="123" max="123" width="17.5" bestFit="1" customWidth="1"/>
    <col min="124" max="130" width="12.75" bestFit="1" customWidth="1"/>
    <col min="131" max="131" width="14" bestFit="1" customWidth="1"/>
    <col min="132" max="140" width="12.75" bestFit="1" customWidth="1"/>
    <col min="141" max="141" width="12.875" bestFit="1" customWidth="1"/>
    <col min="142" max="146" width="12.75" bestFit="1" customWidth="1"/>
    <col min="147" max="147" width="18.75" bestFit="1" customWidth="1"/>
    <col min="148" max="157" width="12.75" bestFit="1" customWidth="1"/>
  </cols>
  <sheetData>
    <row r="1" spans="1:15" ht="113.25" thickBot="1">
      <c r="A1" s="12" t="s">
        <v>107</v>
      </c>
      <c r="B1" s="13" t="s">
        <v>82</v>
      </c>
      <c r="D1" s="21" t="s">
        <v>109</v>
      </c>
      <c r="E1" s="20" t="s">
        <v>77</v>
      </c>
      <c r="F1" s="6" t="s">
        <v>99</v>
      </c>
      <c r="G1" s="7" t="s">
        <v>108</v>
      </c>
      <c r="H1" s="4" t="s">
        <v>78</v>
      </c>
      <c r="I1" s="7" t="s">
        <v>100</v>
      </c>
      <c r="J1" s="29" t="s">
        <v>110</v>
      </c>
      <c r="K1" s="30" t="s">
        <v>79</v>
      </c>
      <c r="L1" s="29" t="s">
        <v>101</v>
      </c>
      <c r="M1" s="10" t="s">
        <v>111</v>
      </c>
      <c r="N1" s="5" t="s">
        <v>81</v>
      </c>
      <c r="O1" s="10" t="s">
        <v>102</v>
      </c>
    </row>
    <row r="2" spans="1:15">
      <c r="A2" s="14" t="s">
        <v>86</v>
      </c>
      <c r="B2" s="15" t="s">
        <v>38</v>
      </c>
      <c r="D2" s="1" t="s">
        <v>83</v>
      </c>
      <c r="E2" s="8" t="s">
        <v>4</v>
      </c>
      <c r="F2" s="9">
        <f t="shared" ref="F2:F33" si="0">COUNTIF(B$2:B$88,E2)</f>
        <v>4</v>
      </c>
      <c r="G2" s="2" t="s">
        <v>113</v>
      </c>
      <c r="H2" s="2" t="s">
        <v>18</v>
      </c>
      <c r="I2" s="2">
        <f t="shared" ref="I2:I23" si="1">COUNTIF(B$89:B$136,H2)</f>
        <v>7</v>
      </c>
      <c r="J2" s="3" t="s">
        <v>85</v>
      </c>
      <c r="K2" s="3" t="s">
        <v>18</v>
      </c>
      <c r="L2" s="3">
        <f t="shared" ref="L2:L11" si="2">COUNTIF(B$137:B$155,K2)</f>
        <v>7</v>
      </c>
      <c r="M2" s="11" t="s">
        <v>85</v>
      </c>
      <c r="N2" s="11" t="s">
        <v>8</v>
      </c>
      <c r="O2" s="11">
        <f t="shared" ref="O2:O33" si="3">COUNTIF(B$2:B$155,N2)</f>
        <v>18</v>
      </c>
    </row>
    <row r="3" spans="1:15">
      <c r="A3" s="14" t="s">
        <v>84</v>
      </c>
      <c r="B3" s="15" t="s">
        <v>56</v>
      </c>
      <c r="D3" s="1" t="s">
        <v>85</v>
      </c>
      <c r="E3" s="8" t="s">
        <v>9</v>
      </c>
      <c r="F3" s="9">
        <f t="shared" si="0"/>
        <v>4</v>
      </c>
      <c r="G3" s="2" t="s">
        <v>83</v>
      </c>
      <c r="H3" s="2" t="s">
        <v>13</v>
      </c>
      <c r="I3" s="2">
        <f t="shared" si="1"/>
        <v>5</v>
      </c>
      <c r="J3" s="3" t="s">
        <v>85</v>
      </c>
      <c r="K3" s="3" t="s">
        <v>9</v>
      </c>
      <c r="L3" s="3">
        <f t="shared" si="2"/>
        <v>2</v>
      </c>
      <c r="M3" s="11" t="s">
        <v>85</v>
      </c>
      <c r="N3" s="11" t="s">
        <v>9</v>
      </c>
      <c r="O3" s="11">
        <f t="shared" si="3"/>
        <v>10</v>
      </c>
    </row>
    <row r="4" spans="1:15">
      <c r="A4" s="14" t="s">
        <v>83</v>
      </c>
      <c r="B4" s="15" t="s">
        <v>49</v>
      </c>
      <c r="D4" s="1" t="s">
        <v>84</v>
      </c>
      <c r="E4" s="8" t="s">
        <v>0</v>
      </c>
      <c r="F4" s="9">
        <f t="shared" si="0"/>
        <v>4</v>
      </c>
      <c r="G4" s="2" t="s">
        <v>85</v>
      </c>
      <c r="H4" s="2" t="s">
        <v>9</v>
      </c>
      <c r="I4" s="2">
        <f t="shared" si="1"/>
        <v>4</v>
      </c>
      <c r="J4" s="3" t="s">
        <v>84</v>
      </c>
      <c r="K4" s="3" t="s">
        <v>73</v>
      </c>
      <c r="L4" s="3">
        <f t="shared" si="2"/>
        <v>2</v>
      </c>
      <c r="M4" s="11" t="s">
        <v>83</v>
      </c>
      <c r="N4" s="11" t="s">
        <v>13</v>
      </c>
      <c r="O4" s="11">
        <f t="shared" si="3"/>
        <v>9</v>
      </c>
    </row>
    <row r="5" spans="1:15">
      <c r="A5" s="14" t="s">
        <v>84</v>
      </c>
      <c r="B5" s="15" t="s">
        <v>55</v>
      </c>
      <c r="D5" s="1" t="s">
        <v>85</v>
      </c>
      <c r="E5" s="8" t="s">
        <v>8</v>
      </c>
      <c r="F5" s="9">
        <f t="shared" si="0"/>
        <v>4</v>
      </c>
      <c r="G5" s="2" t="s">
        <v>87</v>
      </c>
      <c r="H5" s="2" t="s">
        <v>62</v>
      </c>
      <c r="I5" s="2">
        <f t="shared" si="1"/>
        <v>3</v>
      </c>
      <c r="J5" s="3" t="s">
        <v>85</v>
      </c>
      <c r="K5" s="3" t="s">
        <v>19</v>
      </c>
      <c r="L5" s="3">
        <f t="shared" si="2"/>
        <v>2</v>
      </c>
      <c r="M5" s="11" t="s">
        <v>84</v>
      </c>
      <c r="N5" s="11" t="s">
        <v>0</v>
      </c>
      <c r="O5" s="11">
        <f t="shared" si="3"/>
        <v>7</v>
      </c>
    </row>
    <row r="6" spans="1:15">
      <c r="A6" s="14" t="s">
        <v>85</v>
      </c>
      <c r="B6" s="15" t="s">
        <v>35</v>
      </c>
      <c r="D6" s="1" t="s">
        <v>83</v>
      </c>
      <c r="E6" s="8" t="s">
        <v>11</v>
      </c>
      <c r="F6" s="9">
        <f t="shared" si="0"/>
        <v>3</v>
      </c>
      <c r="G6" s="2" t="s">
        <v>83</v>
      </c>
      <c r="H6" s="2" t="s">
        <v>65</v>
      </c>
      <c r="I6" s="2">
        <f t="shared" si="1"/>
        <v>3</v>
      </c>
      <c r="J6" s="3"/>
      <c r="K6" s="3" t="s">
        <v>74</v>
      </c>
      <c r="L6" s="3">
        <f t="shared" si="2"/>
        <v>1</v>
      </c>
      <c r="M6" s="11" t="s">
        <v>85</v>
      </c>
      <c r="N6" s="11" t="s">
        <v>19</v>
      </c>
      <c r="O6" s="11">
        <f t="shared" si="3"/>
        <v>6</v>
      </c>
    </row>
    <row r="7" spans="1:15">
      <c r="A7" s="14" t="s">
        <v>97</v>
      </c>
      <c r="B7" s="15" t="s">
        <v>53</v>
      </c>
      <c r="D7" s="1" t="s">
        <v>83</v>
      </c>
      <c r="E7" s="8" t="s">
        <v>13</v>
      </c>
      <c r="F7" s="9">
        <f t="shared" si="0"/>
        <v>3</v>
      </c>
      <c r="G7" s="2" t="s">
        <v>83</v>
      </c>
      <c r="H7" s="2" t="s">
        <v>71</v>
      </c>
      <c r="I7" s="2">
        <f t="shared" si="1"/>
        <v>2</v>
      </c>
      <c r="J7" s="3" t="s">
        <v>83</v>
      </c>
      <c r="K7" s="3" t="s">
        <v>80</v>
      </c>
      <c r="L7" s="3">
        <f t="shared" si="2"/>
        <v>1</v>
      </c>
      <c r="M7" s="11" t="s">
        <v>83</v>
      </c>
      <c r="N7" s="11" t="s">
        <v>4</v>
      </c>
      <c r="O7" s="11">
        <f t="shared" si="3"/>
        <v>5</v>
      </c>
    </row>
    <row r="8" spans="1:15">
      <c r="A8" s="14" t="s">
        <v>83</v>
      </c>
      <c r="B8" s="15" t="s">
        <v>61</v>
      </c>
      <c r="D8" s="1" t="s">
        <v>84</v>
      </c>
      <c r="E8" s="8" t="s">
        <v>3</v>
      </c>
      <c r="F8" s="9">
        <f t="shared" si="0"/>
        <v>3</v>
      </c>
      <c r="G8" s="2" t="s">
        <v>83</v>
      </c>
      <c r="H8" s="2" t="s">
        <v>43</v>
      </c>
      <c r="I8" s="2">
        <f t="shared" si="1"/>
        <v>2</v>
      </c>
      <c r="J8" s="3" t="s">
        <v>115</v>
      </c>
      <c r="K8" s="3" t="s">
        <v>76</v>
      </c>
      <c r="L8" s="3">
        <f t="shared" si="2"/>
        <v>1</v>
      </c>
      <c r="M8" s="11" t="s">
        <v>83</v>
      </c>
      <c r="N8" s="11" t="s">
        <v>11</v>
      </c>
      <c r="O8" s="11">
        <f t="shared" si="3"/>
        <v>5</v>
      </c>
    </row>
    <row r="9" spans="1:15">
      <c r="A9" s="14" t="s">
        <v>87</v>
      </c>
      <c r="B9" s="15" t="s">
        <v>93</v>
      </c>
      <c r="D9" s="1" t="s">
        <v>83</v>
      </c>
      <c r="E9" s="8" t="s">
        <v>16</v>
      </c>
      <c r="F9" s="9">
        <f t="shared" si="0"/>
        <v>2</v>
      </c>
      <c r="G9" s="2" t="s">
        <v>87</v>
      </c>
      <c r="H9" s="2" t="s">
        <v>63</v>
      </c>
      <c r="I9" s="2">
        <f t="shared" si="1"/>
        <v>2</v>
      </c>
      <c r="J9" s="3" t="s">
        <v>83</v>
      </c>
      <c r="K9" s="3" t="s">
        <v>13</v>
      </c>
      <c r="L9" s="3">
        <f t="shared" si="2"/>
        <v>1</v>
      </c>
      <c r="M9" s="11" t="s">
        <v>83</v>
      </c>
      <c r="N9" s="11" t="s">
        <v>51</v>
      </c>
      <c r="O9" s="11">
        <f t="shared" si="3"/>
        <v>4</v>
      </c>
    </row>
    <row r="10" spans="1:15">
      <c r="A10" s="14" t="s">
        <v>86</v>
      </c>
      <c r="B10" s="15" t="s">
        <v>27</v>
      </c>
      <c r="D10" s="1" t="s">
        <v>83</v>
      </c>
      <c r="E10" s="8" t="s">
        <v>15</v>
      </c>
      <c r="F10" s="9">
        <f t="shared" si="0"/>
        <v>2</v>
      </c>
      <c r="G10" s="2" t="s">
        <v>83</v>
      </c>
      <c r="H10" s="2" t="s">
        <v>64</v>
      </c>
      <c r="I10" s="2">
        <f t="shared" si="1"/>
        <v>2</v>
      </c>
      <c r="J10" s="3" t="s">
        <v>84</v>
      </c>
      <c r="K10" s="3" t="s">
        <v>0</v>
      </c>
      <c r="L10" s="3">
        <f t="shared" si="2"/>
        <v>1</v>
      </c>
      <c r="M10" s="11" t="s">
        <v>84</v>
      </c>
      <c r="N10" s="11" t="s">
        <v>17</v>
      </c>
      <c r="O10" s="11">
        <f t="shared" si="3"/>
        <v>4</v>
      </c>
    </row>
    <row r="11" spans="1:15" ht="14.25" thickBot="1">
      <c r="A11" s="14" t="s">
        <v>83</v>
      </c>
      <c r="B11" s="15" t="s">
        <v>46</v>
      </c>
      <c r="D11" s="1" t="s">
        <v>84</v>
      </c>
      <c r="E11" s="8" t="s">
        <v>1</v>
      </c>
      <c r="F11" s="9">
        <f t="shared" si="0"/>
        <v>2</v>
      </c>
      <c r="G11" s="2" t="s">
        <v>83</v>
      </c>
      <c r="H11" s="2" t="s">
        <v>51</v>
      </c>
      <c r="I11" s="2">
        <f t="shared" si="1"/>
        <v>2</v>
      </c>
      <c r="J11" s="3" t="s">
        <v>84</v>
      </c>
      <c r="K11" s="3" t="s">
        <v>45</v>
      </c>
      <c r="L11" s="3">
        <f t="shared" si="2"/>
        <v>1</v>
      </c>
      <c r="M11" s="11" t="s">
        <v>83</v>
      </c>
      <c r="N11" s="11" t="s">
        <v>10</v>
      </c>
      <c r="O11" s="11">
        <f t="shared" si="3"/>
        <v>4</v>
      </c>
    </row>
    <row r="12" spans="1:15" ht="132" thickBot="1">
      <c r="A12" s="14" t="s">
        <v>83</v>
      </c>
      <c r="B12" s="15" t="s">
        <v>4</v>
      </c>
      <c r="D12" s="1" t="s">
        <v>84</v>
      </c>
      <c r="E12" s="8" t="s">
        <v>2</v>
      </c>
      <c r="F12" s="9">
        <f t="shared" si="0"/>
        <v>2</v>
      </c>
      <c r="G12" s="2" t="s">
        <v>85</v>
      </c>
      <c r="H12" s="2" t="s">
        <v>19</v>
      </c>
      <c r="I12" s="2">
        <f t="shared" si="1"/>
        <v>2</v>
      </c>
      <c r="J12" s="27"/>
      <c r="K12" s="29" t="s">
        <v>89</v>
      </c>
      <c r="L12" s="29" t="s">
        <v>106</v>
      </c>
      <c r="M12" s="11" t="s">
        <v>83</v>
      </c>
      <c r="N12" s="11" t="s">
        <v>15</v>
      </c>
      <c r="O12" s="11">
        <f t="shared" si="3"/>
        <v>3</v>
      </c>
    </row>
    <row r="13" spans="1:15">
      <c r="A13" s="14" t="s">
        <v>83</v>
      </c>
      <c r="B13" s="15" t="s">
        <v>4</v>
      </c>
      <c r="D13" s="1" t="s">
        <v>83</v>
      </c>
      <c r="E13" s="8" t="s">
        <v>51</v>
      </c>
      <c r="F13" s="9">
        <f t="shared" si="0"/>
        <v>2</v>
      </c>
      <c r="G13" s="2" t="s">
        <v>84</v>
      </c>
      <c r="H13" s="2" t="s">
        <v>32</v>
      </c>
      <c r="I13" s="2">
        <f t="shared" si="1"/>
        <v>2</v>
      </c>
      <c r="J13" s="27"/>
      <c r="K13" s="3" t="s">
        <v>83</v>
      </c>
      <c r="L13" s="3">
        <f>COUNTIF(J$2:J$11,K13)</f>
        <v>2</v>
      </c>
      <c r="M13" s="11" t="s">
        <v>84</v>
      </c>
      <c r="N13" s="11" t="s">
        <v>1</v>
      </c>
      <c r="O13" s="11">
        <f t="shared" si="3"/>
        <v>3</v>
      </c>
    </row>
    <row r="14" spans="1:15">
      <c r="A14" s="14" t="s">
        <v>83</v>
      </c>
      <c r="B14" s="15" t="s">
        <v>4</v>
      </c>
      <c r="D14" s="1" t="s">
        <v>84</v>
      </c>
      <c r="E14" s="8" t="s">
        <v>17</v>
      </c>
      <c r="F14" s="9">
        <f t="shared" si="0"/>
        <v>2</v>
      </c>
      <c r="G14" s="2" t="s">
        <v>85</v>
      </c>
      <c r="H14" s="2" t="s">
        <v>35</v>
      </c>
      <c r="I14" s="2">
        <f t="shared" si="1"/>
        <v>1</v>
      </c>
      <c r="J14" s="27"/>
      <c r="K14" s="3" t="s">
        <v>84</v>
      </c>
      <c r="L14" s="3">
        <f t="shared" ref="L14:L16" si="4">COUNTIF(J$2:J$11,K14)</f>
        <v>3</v>
      </c>
      <c r="M14" s="11" t="s">
        <v>84</v>
      </c>
      <c r="N14" s="11" t="s">
        <v>3</v>
      </c>
      <c r="O14" s="11">
        <f t="shared" si="3"/>
        <v>3</v>
      </c>
    </row>
    <row r="15" spans="1:15">
      <c r="A15" s="14" t="s">
        <v>83</v>
      </c>
      <c r="B15" s="15" t="s">
        <v>4</v>
      </c>
      <c r="D15" s="1" t="s">
        <v>85</v>
      </c>
      <c r="E15" s="8" t="s">
        <v>19</v>
      </c>
      <c r="F15" s="9">
        <f t="shared" si="0"/>
        <v>2</v>
      </c>
      <c r="G15" s="2" t="s">
        <v>83</v>
      </c>
      <c r="H15" s="2" t="s">
        <v>15</v>
      </c>
      <c r="I15" s="2">
        <f t="shared" si="1"/>
        <v>1</v>
      </c>
      <c r="J15" s="27"/>
      <c r="K15" s="3" t="s">
        <v>85</v>
      </c>
      <c r="L15" s="3">
        <f t="shared" si="4"/>
        <v>3</v>
      </c>
      <c r="M15" s="11" t="s">
        <v>87</v>
      </c>
      <c r="N15" s="11" t="s">
        <v>62</v>
      </c>
      <c r="O15" s="11">
        <f t="shared" si="3"/>
        <v>3</v>
      </c>
    </row>
    <row r="16" spans="1:15">
      <c r="A16" s="14" t="s">
        <v>86</v>
      </c>
      <c r="B16" s="15" t="s">
        <v>5</v>
      </c>
      <c r="D16" s="1" t="s">
        <v>87</v>
      </c>
      <c r="E16" s="8" t="s">
        <v>34</v>
      </c>
      <c r="F16" s="9">
        <f t="shared" si="0"/>
        <v>2</v>
      </c>
      <c r="G16" s="2" t="s">
        <v>84</v>
      </c>
      <c r="H16" s="2" t="s">
        <v>1</v>
      </c>
      <c r="I16" s="2">
        <f t="shared" si="1"/>
        <v>1</v>
      </c>
      <c r="J16" s="27"/>
      <c r="K16" s="3" t="s">
        <v>87</v>
      </c>
      <c r="L16" s="3">
        <f t="shared" si="4"/>
        <v>1</v>
      </c>
      <c r="M16" s="11" t="s">
        <v>85</v>
      </c>
      <c r="N16" s="11" t="s">
        <v>35</v>
      </c>
      <c r="O16" s="11">
        <f t="shared" si="3"/>
        <v>2</v>
      </c>
    </row>
    <row r="17" spans="1:15">
      <c r="A17" s="14" t="s">
        <v>87</v>
      </c>
      <c r="B17" s="15" t="s">
        <v>91</v>
      </c>
      <c r="D17" s="28" t="s">
        <v>86</v>
      </c>
      <c r="E17" s="8" t="s">
        <v>38</v>
      </c>
      <c r="F17" s="9">
        <f t="shared" si="0"/>
        <v>1</v>
      </c>
      <c r="G17" s="2" t="s">
        <v>85</v>
      </c>
      <c r="H17" s="2" t="s">
        <v>112</v>
      </c>
      <c r="I17" s="2">
        <f t="shared" si="1"/>
        <v>0</v>
      </c>
      <c r="J17" s="23"/>
      <c r="M17" s="11" t="s">
        <v>83</v>
      </c>
      <c r="N17" s="11" t="s">
        <v>16</v>
      </c>
      <c r="O17" s="11">
        <f t="shared" si="3"/>
        <v>2</v>
      </c>
    </row>
    <row r="18" spans="1:15">
      <c r="A18" s="14" t="s">
        <v>86</v>
      </c>
      <c r="B18" s="15" t="s">
        <v>39</v>
      </c>
      <c r="D18" s="1" t="s">
        <v>84</v>
      </c>
      <c r="E18" s="8" t="s">
        <v>56</v>
      </c>
      <c r="F18" s="9">
        <f t="shared" si="0"/>
        <v>1</v>
      </c>
      <c r="G18" s="2" t="s">
        <v>87</v>
      </c>
      <c r="H18" s="2" t="s">
        <v>98</v>
      </c>
      <c r="I18" s="2">
        <f t="shared" si="1"/>
        <v>1</v>
      </c>
      <c r="J18" s="23"/>
      <c r="M18" s="11" t="s">
        <v>84</v>
      </c>
      <c r="N18" s="11" t="s">
        <v>2</v>
      </c>
      <c r="O18" s="11">
        <f t="shared" si="3"/>
        <v>2</v>
      </c>
    </row>
    <row r="19" spans="1:15">
      <c r="A19" s="14" t="s">
        <v>83</v>
      </c>
      <c r="B19" s="15" t="s">
        <v>11</v>
      </c>
      <c r="D19" s="1" t="s">
        <v>83</v>
      </c>
      <c r="E19" s="8" t="s">
        <v>49</v>
      </c>
      <c r="F19" s="9">
        <f t="shared" si="0"/>
        <v>1</v>
      </c>
      <c r="G19" s="2" t="s">
        <v>83</v>
      </c>
      <c r="H19" s="2" t="s">
        <v>72</v>
      </c>
      <c r="I19" s="2">
        <f t="shared" si="1"/>
        <v>1</v>
      </c>
      <c r="J19" s="23"/>
      <c r="M19" s="11" t="s">
        <v>84</v>
      </c>
      <c r="N19" s="11" t="s">
        <v>60</v>
      </c>
      <c r="O19" s="11">
        <f t="shared" si="3"/>
        <v>2</v>
      </c>
    </row>
    <row r="20" spans="1:15">
      <c r="A20" s="14" t="s">
        <v>83</v>
      </c>
      <c r="B20" s="15" t="s">
        <v>43</v>
      </c>
      <c r="D20" s="1" t="s">
        <v>84</v>
      </c>
      <c r="E20" s="8" t="s">
        <v>55</v>
      </c>
      <c r="F20" s="9">
        <f t="shared" si="0"/>
        <v>1</v>
      </c>
      <c r="G20" s="2" t="s">
        <v>85</v>
      </c>
      <c r="H20" s="2" t="s">
        <v>70</v>
      </c>
      <c r="I20" s="2">
        <f t="shared" si="1"/>
        <v>1</v>
      </c>
      <c r="J20" s="23"/>
      <c r="M20" s="11" t="s">
        <v>87</v>
      </c>
      <c r="N20" s="11" t="s">
        <v>34</v>
      </c>
      <c r="O20" s="11">
        <f t="shared" si="3"/>
        <v>2</v>
      </c>
    </row>
    <row r="21" spans="1:15">
      <c r="A21" s="14" t="s">
        <v>83</v>
      </c>
      <c r="B21" s="15" t="s">
        <v>11</v>
      </c>
      <c r="D21" s="1" t="s">
        <v>85</v>
      </c>
      <c r="E21" s="8" t="s">
        <v>35</v>
      </c>
      <c r="F21" s="9">
        <f t="shared" si="0"/>
        <v>1</v>
      </c>
      <c r="G21" s="2" t="s">
        <v>84</v>
      </c>
      <c r="H21" s="2" t="s">
        <v>60</v>
      </c>
      <c r="I21" s="2">
        <f t="shared" si="1"/>
        <v>1</v>
      </c>
      <c r="J21" s="23"/>
      <c r="M21" s="11" t="s">
        <v>84</v>
      </c>
      <c r="N21" s="11" t="s">
        <v>45</v>
      </c>
      <c r="O21" s="11">
        <f t="shared" si="3"/>
        <v>2</v>
      </c>
    </row>
    <row r="22" spans="1:15">
      <c r="A22" s="14" t="s">
        <v>83</v>
      </c>
      <c r="B22" s="15" t="s">
        <v>16</v>
      </c>
      <c r="D22" s="1" t="s">
        <v>97</v>
      </c>
      <c r="E22" s="8" t="s">
        <v>53</v>
      </c>
      <c r="F22" s="9">
        <f t="shared" si="0"/>
        <v>1</v>
      </c>
      <c r="G22" s="2" t="s">
        <v>84</v>
      </c>
      <c r="H22" s="2" t="s">
        <v>114</v>
      </c>
      <c r="I22" s="2">
        <f t="shared" si="1"/>
        <v>1</v>
      </c>
      <c r="J22" s="23"/>
      <c r="M22" s="11"/>
      <c r="N22" s="11" t="s">
        <v>71</v>
      </c>
      <c r="O22" s="11">
        <f t="shared" si="3"/>
        <v>2</v>
      </c>
    </row>
    <row r="23" spans="1:15" ht="14.25" thickBot="1">
      <c r="A23" s="14" t="s">
        <v>83</v>
      </c>
      <c r="B23" s="15" t="s">
        <v>16</v>
      </c>
      <c r="D23" s="1" t="s">
        <v>83</v>
      </c>
      <c r="E23" s="8" t="s">
        <v>61</v>
      </c>
      <c r="F23" s="9">
        <f t="shared" si="0"/>
        <v>1</v>
      </c>
      <c r="G23" s="2" t="s">
        <v>87</v>
      </c>
      <c r="H23" s="2" t="s">
        <v>95</v>
      </c>
      <c r="I23" s="2">
        <f t="shared" si="1"/>
        <v>1</v>
      </c>
      <c r="J23" s="23"/>
      <c r="M23" s="11" t="s">
        <v>87</v>
      </c>
      <c r="N23" s="11" t="s">
        <v>63</v>
      </c>
      <c r="O23" s="11">
        <f t="shared" si="3"/>
        <v>2</v>
      </c>
    </row>
    <row r="24" spans="1:15" ht="113.25" thickBot="1">
      <c r="A24" s="14" t="s">
        <v>83</v>
      </c>
      <c r="B24" s="15" t="s">
        <v>15</v>
      </c>
      <c r="D24" s="1" t="s">
        <v>87</v>
      </c>
      <c r="E24" s="8" t="s">
        <v>93</v>
      </c>
      <c r="F24" s="9">
        <f t="shared" si="0"/>
        <v>1</v>
      </c>
      <c r="G24" s="25"/>
      <c r="H24" s="7" t="s">
        <v>90</v>
      </c>
      <c r="I24" s="7" t="s">
        <v>104</v>
      </c>
      <c r="J24" s="24"/>
      <c r="M24" s="11" t="s">
        <v>83</v>
      </c>
      <c r="N24" s="11" t="s">
        <v>64</v>
      </c>
      <c r="O24" s="11">
        <f t="shared" si="3"/>
        <v>2</v>
      </c>
    </row>
    <row r="25" spans="1:15">
      <c r="A25" s="14" t="s">
        <v>83</v>
      </c>
      <c r="B25" s="15" t="s">
        <v>15</v>
      </c>
      <c r="D25" s="1" t="s">
        <v>86</v>
      </c>
      <c r="E25" s="8" t="s">
        <v>27</v>
      </c>
      <c r="F25" s="9">
        <f t="shared" si="0"/>
        <v>1</v>
      </c>
      <c r="G25" s="25"/>
      <c r="H25" s="2" t="s">
        <v>83</v>
      </c>
      <c r="I25" s="2">
        <f>COUNTIF(G$2:G$23,H25)</f>
        <v>8</v>
      </c>
      <c r="J25" s="23"/>
      <c r="M25" s="11" t="s">
        <v>86</v>
      </c>
      <c r="N25" s="11" t="s">
        <v>38</v>
      </c>
      <c r="O25" s="11">
        <f t="shared" si="3"/>
        <v>1</v>
      </c>
    </row>
    <row r="26" spans="1:15">
      <c r="A26" s="14" t="s">
        <v>83</v>
      </c>
      <c r="B26" s="15" t="s">
        <v>59</v>
      </c>
      <c r="D26" s="1" t="s">
        <v>83</v>
      </c>
      <c r="E26" s="8" t="s">
        <v>46</v>
      </c>
      <c r="F26" s="9">
        <f t="shared" si="0"/>
        <v>1</v>
      </c>
      <c r="G26" s="25"/>
      <c r="H26" s="2" t="s">
        <v>84</v>
      </c>
      <c r="I26" s="2">
        <f t="shared" ref="I26:I28" si="5">COUNTIF(G$2:G$23,H26)</f>
        <v>4</v>
      </c>
      <c r="J26" s="23"/>
      <c r="M26" s="11" t="s">
        <v>84</v>
      </c>
      <c r="N26" s="11" t="s">
        <v>56</v>
      </c>
      <c r="O26" s="11">
        <f t="shared" si="3"/>
        <v>1</v>
      </c>
    </row>
    <row r="27" spans="1:15">
      <c r="A27" s="14" t="s">
        <v>83</v>
      </c>
      <c r="B27" s="15" t="s">
        <v>48</v>
      </c>
      <c r="D27" s="1" t="s">
        <v>86</v>
      </c>
      <c r="E27" s="8" t="s">
        <v>5</v>
      </c>
      <c r="F27" s="9">
        <f t="shared" si="0"/>
        <v>1</v>
      </c>
      <c r="G27" s="25"/>
      <c r="H27" s="2" t="s">
        <v>85</v>
      </c>
      <c r="I27" s="2">
        <f t="shared" si="5"/>
        <v>6</v>
      </c>
      <c r="J27" s="23"/>
      <c r="M27" s="11" t="s">
        <v>83</v>
      </c>
      <c r="N27" s="11" t="s">
        <v>49</v>
      </c>
      <c r="O27" s="11">
        <f t="shared" si="3"/>
        <v>1</v>
      </c>
    </row>
    <row r="28" spans="1:15">
      <c r="A28" s="14" t="s">
        <v>83</v>
      </c>
      <c r="B28" s="15" t="s">
        <v>12</v>
      </c>
      <c r="D28" s="1" t="s">
        <v>87</v>
      </c>
      <c r="E28" s="8" t="s">
        <v>91</v>
      </c>
      <c r="F28" s="9">
        <f t="shared" si="0"/>
        <v>1</v>
      </c>
      <c r="G28" s="25"/>
      <c r="H28" s="2" t="s">
        <v>87</v>
      </c>
      <c r="I28" s="2">
        <f t="shared" si="5"/>
        <v>4</v>
      </c>
      <c r="J28" s="23"/>
      <c r="M28" s="11" t="s">
        <v>84</v>
      </c>
      <c r="N28" s="11" t="s">
        <v>55</v>
      </c>
      <c r="O28" s="11">
        <f t="shared" si="3"/>
        <v>1</v>
      </c>
    </row>
    <row r="29" spans="1:15">
      <c r="A29" s="14" t="s">
        <v>86</v>
      </c>
      <c r="B29" s="15" t="s">
        <v>36</v>
      </c>
      <c r="D29" s="1" t="s">
        <v>86</v>
      </c>
      <c r="E29" s="8" t="s">
        <v>39</v>
      </c>
      <c r="F29" s="9">
        <f t="shared" si="0"/>
        <v>1</v>
      </c>
      <c r="G29" s="25"/>
      <c r="M29" s="11" t="s">
        <v>97</v>
      </c>
      <c r="N29" s="11" t="s">
        <v>53</v>
      </c>
      <c r="O29" s="11">
        <f t="shared" si="3"/>
        <v>1</v>
      </c>
    </row>
    <row r="30" spans="1:15">
      <c r="A30" s="14" t="s">
        <v>86</v>
      </c>
      <c r="B30" s="15" t="s">
        <v>42</v>
      </c>
      <c r="D30" s="1" t="s">
        <v>83</v>
      </c>
      <c r="E30" s="8" t="s">
        <v>59</v>
      </c>
      <c r="F30" s="9">
        <f t="shared" si="0"/>
        <v>1</v>
      </c>
      <c r="G30" s="25"/>
      <c r="M30" s="11" t="s">
        <v>83</v>
      </c>
      <c r="N30" s="11" t="s">
        <v>61</v>
      </c>
      <c r="O30" s="11">
        <f t="shared" si="3"/>
        <v>1</v>
      </c>
    </row>
    <row r="31" spans="1:15">
      <c r="A31" s="14" t="s">
        <v>86</v>
      </c>
      <c r="B31" s="15" t="s">
        <v>40</v>
      </c>
      <c r="D31" s="1" t="s">
        <v>83</v>
      </c>
      <c r="E31" s="8" t="s">
        <v>48</v>
      </c>
      <c r="F31" s="9">
        <f t="shared" si="0"/>
        <v>1</v>
      </c>
      <c r="G31" s="25"/>
      <c r="M31" s="11" t="s">
        <v>87</v>
      </c>
      <c r="N31" s="11" t="s">
        <v>93</v>
      </c>
      <c r="O31" s="11">
        <f t="shared" si="3"/>
        <v>1</v>
      </c>
    </row>
    <row r="32" spans="1:15">
      <c r="A32" s="14" t="s">
        <v>84</v>
      </c>
      <c r="B32" s="15" t="s">
        <v>1</v>
      </c>
      <c r="D32" s="1" t="s">
        <v>83</v>
      </c>
      <c r="E32" s="8" t="s">
        <v>12</v>
      </c>
      <c r="F32" s="9">
        <f t="shared" si="0"/>
        <v>1</v>
      </c>
      <c r="G32" s="25"/>
      <c r="M32" s="11" t="s">
        <v>86</v>
      </c>
      <c r="N32" s="11" t="s">
        <v>27</v>
      </c>
      <c r="O32" s="11">
        <f t="shared" si="3"/>
        <v>1</v>
      </c>
    </row>
    <row r="33" spans="1:15">
      <c r="A33" s="14" t="s">
        <v>84</v>
      </c>
      <c r="B33" s="15" t="s">
        <v>1</v>
      </c>
      <c r="D33" s="1" t="s">
        <v>86</v>
      </c>
      <c r="E33" s="8" t="s">
        <v>36</v>
      </c>
      <c r="F33" s="9">
        <f t="shared" si="0"/>
        <v>1</v>
      </c>
      <c r="G33" s="25"/>
      <c r="M33" s="11" t="s">
        <v>83</v>
      </c>
      <c r="N33" s="11" t="s">
        <v>46</v>
      </c>
      <c r="O33" s="11">
        <f t="shared" si="3"/>
        <v>1</v>
      </c>
    </row>
    <row r="34" spans="1:15">
      <c r="A34" s="14" t="s">
        <v>86</v>
      </c>
      <c r="B34" s="15" t="s">
        <v>6</v>
      </c>
      <c r="D34" s="1" t="s">
        <v>86</v>
      </c>
      <c r="E34" s="8" t="s">
        <v>42</v>
      </c>
      <c r="F34" s="9">
        <f t="shared" ref="F34:F62" si="6">COUNTIF(B$2:B$88,E34)</f>
        <v>1</v>
      </c>
      <c r="G34" s="25"/>
      <c r="M34" s="11" t="s">
        <v>86</v>
      </c>
      <c r="N34" s="11" t="s">
        <v>5</v>
      </c>
      <c r="O34" s="11">
        <f t="shared" ref="O34:O65" si="7">COUNTIF(B$2:B$155,N34)</f>
        <v>1</v>
      </c>
    </row>
    <row r="35" spans="1:15">
      <c r="A35" s="14" t="s">
        <v>84</v>
      </c>
      <c r="B35" s="15" t="s">
        <v>2</v>
      </c>
      <c r="D35" s="1" t="s">
        <v>86</v>
      </c>
      <c r="E35" s="8" t="s">
        <v>40</v>
      </c>
      <c r="F35" s="9">
        <f t="shared" si="6"/>
        <v>1</v>
      </c>
      <c r="G35" s="25"/>
      <c r="M35" s="11" t="s">
        <v>87</v>
      </c>
      <c r="N35" s="11" t="s">
        <v>91</v>
      </c>
      <c r="O35" s="11">
        <f t="shared" si="7"/>
        <v>1</v>
      </c>
    </row>
    <row r="36" spans="1:15">
      <c r="A36" s="14" t="s">
        <v>84</v>
      </c>
      <c r="B36" s="15" t="s">
        <v>2</v>
      </c>
      <c r="D36" s="1" t="s">
        <v>86</v>
      </c>
      <c r="E36" s="8" t="s">
        <v>6</v>
      </c>
      <c r="F36" s="9">
        <f t="shared" si="6"/>
        <v>1</v>
      </c>
      <c r="G36" s="25"/>
      <c r="M36" s="11" t="s">
        <v>86</v>
      </c>
      <c r="N36" s="11" t="s">
        <v>39</v>
      </c>
      <c r="O36" s="11">
        <f t="shared" si="7"/>
        <v>1</v>
      </c>
    </row>
    <row r="37" spans="1:15">
      <c r="A37" s="14" t="s">
        <v>86</v>
      </c>
      <c r="B37" s="15" t="s">
        <v>54</v>
      </c>
      <c r="D37" s="1" t="s">
        <v>86</v>
      </c>
      <c r="E37" s="8" t="s">
        <v>54</v>
      </c>
      <c r="F37" s="9">
        <f t="shared" si="6"/>
        <v>1</v>
      </c>
      <c r="G37" s="25"/>
      <c r="M37" s="11" t="s">
        <v>83</v>
      </c>
      <c r="N37" s="11" t="s">
        <v>59</v>
      </c>
      <c r="O37" s="11">
        <f t="shared" si="7"/>
        <v>1</v>
      </c>
    </row>
    <row r="38" spans="1:15">
      <c r="A38" s="14" t="s">
        <v>83</v>
      </c>
      <c r="B38" s="15" t="s">
        <v>50</v>
      </c>
      <c r="D38" s="1" t="s">
        <v>83</v>
      </c>
      <c r="E38" s="8" t="s">
        <v>50</v>
      </c>
      <c r="F38" s="9">
        <f t="shared" si="6"/>
        <v>1</v>
      </c>
      <c r="G38" s="25"/>
      <c r="M38" s="11" t="s">
        <v>83</v>
      </c>
      <c r="N38" s="11" t="s">
        <v>48</v>
      </c>
      <c r="O38" s="11">
        <f t="shared" si="7"/>
        <v>1</v>
      </c>
    </row>
    <row r="39" spans="1:15">
      <c r="A39" s="14"/>
      <c r="B39" s="15" t="s">
        <v>29</v>
      </c>
      <c r="D39" s="1"/>
      <c r="E39" s="8" t="s">
        <v>29</v>
      </c>
      <c r="F39" s="9">
        <f t="shared" si="6"/>
        <v>1</v>
      </c>
      <c r="G39" s="25"/>
      <c r="M39" s="11" t="s">
        <v>83</v>
      </c>
      <c r="N39" s="11" t="s">
        <v>12</v>
      </c>
      <c r="O39" s="11">
        <f t="shared" si="7"/>
        <v>1</v>
      </c>
    </row>
    <row r="40" spans="1:15">
      <c r="A40" s="14" t="s">
        <v>87</v>
      </c>
      <c r="B40" s="15" t="s">
        <v>94</v>
      </c>
      <c r="D40" s="1" t="s">
        <v>87</v>
      </c>
      <c r="E40" s="8" t="s">
        <v>94</v>
      </c>
      <c r="F40" s="9">
        <f t="shared" si="6"/>
        <v>1</v>
      </c>
      <c r="G40" s="25"/>
      <c r="M40" s="11" t="s">
        <v>86</v>
      </c>
      <c r="N40" s="11" t="s">
        <v>36</v>
      </c>
      <c r="O40" s="11">
        <f t="shared" si="7"/>
        <v>1</v>
      </c>
    </row>
    <row r="41" spans="1:15">
      <c r="A41" s="14" t="s">
        <v>84</v>
      </c>
      <c r="B41" s="15" t="s">
        <v>57</v>
      </c>
      <c r="D41" s="1" t="s">
        <v>84</v>
      </c>
      <c r="E41" s="8" t="s">
        <v>57</v>
      </c>
      <c r="F41" s="9">
        <f t="shared" si="6"/>
        <v>1</v>
      </c>
      <c r="G41" s="25"/>
      <c r="M41" s="11" t="s">
        <v>86</v>
      </c>
      <c r="N41" s="11" t="s">
        <v>42</v>
      </c>
      <c r="O41" s="11">
        <f t="shared" si="7"/>
        <v>1</v>
      </c>
    </row>
    <row r="42" spans="1:15">
      <c r="A42" s="14" t="s">
        <v>83</v>
      </c>
      <c r="B42" s="15" t="s">
        <v>13</v>
      </c>
      <c r="D42" s="1"/>
      <c r="E42" s="8" t="s">
        <v>30</v>
      </c>
      <c r="F42" s="9">
        <f t="shared" si="6"/>
        <v>1</v>
      </c>
      <c r="G42" s="25"/>
      <c r="M42" s="11" t="s">
        <v>86</v>
      </c>
      <c r="N42" s="11" t="s">
        <v>40</v>
      </c>
      <c r="O42" s="11">
        <f t="shared" si="7"/>
        <v>1</v>
      </c>
    </row>
    <row r="43" spans="1:15">
      <c r="A43" s="14" t="s">
        <v>83</v>
      </c>
      <c r="B43" s="15" t="s">
        <v>31</v>
      </c>
      <c r="D43" s="1"/>
      <c r="E43" s="8" t="s">
        <v>7</v>
      </c>
      <c r="F43" s="9">
        <f t="shared" si="6"/>
        <v>1</v>
      </c>
      <c r="G43" s="25"/>
      <c r="M43" s="11" t="s">
        <v>86</v>
      </c>
      <c r="N43" s="11" t="s">
        <v>6</v>
      </c>
      <c r="O43" s="11">
        <f t="shared" si="7"/>
        <v>1</v>
      </c>
    </row>
    <row r="44" spans="1:15">
      <c r="A44" s="14" t="s">
        <v>83</v>
      </c>
      <c r="B44" s="15" t="s">
        <v>13</v>
      </c>
      <c r="D44" s="1" t="s">
        <v>86</v>
      </c>
      <c r="E44" s="8" t="s">
        <v>28</v>
      </c>
      <c r="F44" s="9">
        <f t="shared" si="6"/>
        <v>1</v>
      </c>
      <c r="G44" s="25"/>
      <c r="M44" s="11" t="s">
        <v>86</v>
      </c>
      <c r="N44" s="11" t="s">
        <v>54</v>
      </c>
      <c r="O44" s="11">
        <f t="shared" si="7"/>
        <v>1</v>
      </c>
    </row>
    <row r="45" spans="1:15">
      <c r="A45" s="14"/>
      <c r="B45" s="15" t="s">
        <v>30</v>
      </c>
      <c r="D45" s="1" t="s">
        <v>86</v>
      </c>
      <c r="E45" s="8" t="s">
        <v>26</v>
      </c>
      <c r="F45" s="9">
        <f t="shared" si="6"/>
        <v>1</v>
      </c>
      <c r="G45" s="25"/>
      <c r="M45" s="11" t="s">
        <v>83</v>
      </c>
      <c r="N45" s="11" t="s">
        <v>50</v>
      </c>
      <c r="O45" s="11">
        <f t="shared" si="7"/>
        <v>1</v>
      </c>
    </row>
    <row r="46" spans="1:15">
      <c r="A46" s="14"/>
      <c r="B46" s="15" t="s">
        <v>7</v>
      </c>
      <c r="D46" s="1" t="s">
        <v>83</v>
      </c>
      <c r="E46" s="8" t="s">
        <v>44</v>
      </c>
      <c r="F46" s="9">
        <f t="shared" si="6"/>
        <v>1</v>
      </c>
      <c r="G46" s="25"/>
      <c r="M46" s="11"/>
      <c r="N46" s="11" t="s">
        <v>29</v>
      </c>
      <c r="O46" s="11">
        <f t="shared" si="7"/>
        <v>1</v>
      </c>
    </row>
    <row r="47" spans="1:15">
      <c r="A47" s="14" t="s">
        <v>85</v>
      </c>
      <c r="B47" s="15" t="s">
        <v>9</v>
      </c>
      <c r="D47" s="1" t="s">
        <v>84</v>
      </c>
      <c r="E47" s="8" t="s">
        <v>58</v>
      </c>
      <c r="F47" s="9">
        <f t="shared" si="6"/>
        <v>1</v>
      </c>
      <c r="G47" s="25"/>
      <c r="M47" s="11" t="s">
        <v>87</v>
      </c>
      <c r="N47" s="11" t="s">
        <v>94</v>
      </c>
      <c r="O47" s="11">
        <f t="shared" si="7"/>
        <v>1</v>
      </c>
    </row>
    <row r="48" spans="1:15">
      <c r="A48" s="14" t="s">
        <v>85</v>
      </c>
      <c r="B48" s="15" t="s">
        <v>9</v>
      </c>
      <c r="D48" s="1" t="s">
        <v>86</v>
      </c>
      <c r="E48" s="8" t="s">
        <v>37</v>
      </c>
      <c r="F48" s="9">
        <f t="shared" si="6"/>
        <v>1</v>
      </c>
      <c r="G48" s="25"/>
      <c r="M48" s="11" t="s">
        <v>84</v>
      </c>
      <c r="N48" s="11" t="s">
        <v>57</v>
      </c>
      <c r="O48" s="11">
        <f t="shared" si="7"/>
        <v>1</v>
      </c>
    </row>
    <row r="49" spans="1:15">
      <c r="A49" s="14" t="s">
        <v>85</v>
      </c>
      <c r="B49" s="15" t="s">
        <v>9</v>
      </c>
      <c r="D49" s="1" t="s">
        <v>83</v>
      </c>
      <c r="E49" s="8" t="s">
        <v>52</v>
      </c>
      <c r="F49" s="9">
        <f t="shared" si="6"/>
        <v>1</v>
      </c>
      <c r="G49" s="25"/>
      <c r="M49" s="11"/>
      <c r="N49" s="11" t="s">
        <v>30</v>
      </c>
      <c r="O49" s="11">
        <f t="shared" si="7"/>
        <v>1</v>
      </c>
    </row>
    <row r="50" spans="1:15">
      <c r="A50" s="14" t="s">
        <v>85</v>
      </c>
      <c r="B50" s="15" t="s">
        <v>33</v>
      </c>
      <c r="D50" s="1" t="s">
        <v>83</v>
      </c>
      <c r="E50" s="8" t="s">
        <v>10</v>
      </c>
      <c r="F50" s="9">
        <f t="shared" si="6"/>
        <v>1</v>
      </c>
      <c r="G50" s="25"/>
      <c r="M50" s="11"/>
      <c r="N50" s="11" t="s">
        <v>7</v>
      </c>
      <c r="O50" s="11">
        <f t="shared" si="7"/>
        <v>1</v>
      </c>
    </row>
    <row r="51" spans="1:15">
      <c r="A51" s="14" t="s">
        <v>86</v>
      </c>
      <c r="B51" s="15" t="s">
        <v>28</v>
      </c>
      <c r="D51" s="1" t="s">
        <v>85</v>
      </c>
      <c r="E51" s="8" t="s">
        <v>22</v>
      </c>
      <c r="F51" s="9">
        <f t="shared" si="6"/>
        <v>1</v>
      </c>
      <c r="G51" s="25"/>
      <c r="M51" s="11" t="s">
        <v>86</v>
      </c>
      <c r="N51" s="11" t="s">
        <v>28</v>
      </c>
      <c r="O51" s="11">
        <f t="shared" si="7"/>
        <v>1</v>
      </c>
    </row>
    <row r="52" spans="1:15">
      <c r="A52" s="14" t="s">
        <v>86</v>
      </c>
      <c r="B52" s="15" t="s">
        <v>26</v>
      </c>
      <c r="D52" s="1"/>
      <c r="E52" s="8" t="s">
        <v>20</v>
      </c>
      <c r="F52" s="9">
        <f t="shared" si="6"/>
        <v>1</v>
      </c>
      <c r="G52" s="25"/>
      <c r="M52" s="11" t="s">
        <v>86</v>
      </c>
      <c r="N52" s="11" t="s">
        <v>26</v>
      </c>
      <c r="O52" s="11">
        <f t="shared" si="7"/>
        <v>1</v>
      </c>
    </row>
    <row r="53" spans="1:15">
      <c r="A53" s="14" t="s">
        <v>83</v>
      </c>
      <c r="B53" s="15" t="s">
        <v>44</v>
      </c>
      <c r="D53" s="1" t="s">
        <v>86</v>
      </c>
      <c r="E53" s="8" t="s">
        <v>25</v>
      </c>
      <c r="F53" s="9">
        <f t="shared" si="6"/>
        <v>1</v>
      </c>
      <c r="G53" s="25"/>
      <c r="M53" s="11" t="s">
        <v>83</v>
      </c>
      <c r="N53" s="11" t="s">
        <v>44</v>
      </c>
      <c r="O53" s="11">
        <f t="shared" si="7"/>
        <v>1</v>
      </c>
    </row>
    <row r="54" spans="1:15">
      <c r="A54" s="14" t="s">
        <v>84</v>
      </c>
      <c r="B54" s="15" t="s">
        <v>58</v>
      </c>
      <c r="D54" s="1" t="s">
        <v>83</v>
      </c>
      <c r="E54" s="8" t="s">
        <v>47</v>
      </c>
      <c r="F54" s="9">
        <f t="shared" si="6"/>
        <v>1</v>
      </c>
      <c r="G54" s="25"/>
      <c r="M54" s="11" t="s">
        <v>84</v>
      </c>
      <c r="N54" s="11" t="s">
        <v>58</v>
      </c>
      <c r="O54" s="11">
        <f t="shared" si="7"/>
        <v>1</v>
      </c>
    </row>
    <row r="55" spans="1:15">
      <c r="A55" s="14" t="s">
        <v>86</v>
      </c>
      <c r="B55" s="15" t="s">
        <v>37</v>
      </c>
      <c r="D55" s="1" t="s">
        <v>84</v>
      </c>
      <c r="E55" s="8" t="s">
        <v>60</v>
      </c>
      <c r="F55" s="9">
        <f t="shared" si="6"/>
        <v>1</v>
      </c>
      <c r="G55" s="25"/>
      <c r="M55" s="11" t="s">
        <v>86</v>
      </c>
      <c r="N55" s="11" t="s">
        <v>37</v>
      </c>
      <c r="O55" s="11">
        <f t="shared" si="7"/>
        <v>1</v>
      </c>
    </row>
    <row r="56" spans="1:15">
      <c r="A56" s="14" t="s">
        <v>83</v>
      </c>
      <c r="B56" s="15" t="s">
        <v>52</v>
      </c>
      <c r="D56" s="1" t="s">
        <v>87</v>
      </c>
      <c r="E56" s="8" t="s">
        <v>24</v>
      </c>
      <c r="F56" s="9">
        <f t="shared" si="6"/>
        <v>1</v>
      </c>
      <c r="G56" s="25"/>
      <c r="M56" s="11" t="s">
        <v>83</v>
      </c>
      <c r="N56" s="11" t="s">
        <v>52</v>
      </c>
      <c r="O56" s="11">
        <f t="shared" si="7"/>
        <v>1</v>
      </c>
    </row>
    <row r="57" spans="1:15">
      <c r="A57" s="14" t="s">
        <v>84</v>
      </c>
      <c r="B57" s="15" t="s">
        <v>3</v>
      </c>
      <c r="D57" s="1" t="s">
        <v>86</v>
      </c>
      <c r="E57" s="8" t="s">
        <v>21</v>
      </c>
      <c r="F57" s="9">
        <f t="shared" si="6"/>
        <v>1</v>
      </c>
      <c r="G57" s="25"/>
      <c r="M57" s="11" t="s">
        <v>85</v>
      </c>
      <c r="N57" s="11" t="s">
        <v>22</v>
      </c>
      <c r="O57" s="11">
        <f t="shared" si="7"/>
        <v>1</v>
      </c>
    </row>
    <row r="58" spans="1:15">
      <c r="A58" s="14" t="s">
        <v>84</v>
      </c>
      <c r="B58" s="15" t="s">
        <v>3</v>
      </c>
      <c r="D58" s="1" t="s">
        <v>86</v>
      </c>
      <c r="E58" s="8" t="s">
        <v>41</v>
      </c>
      <c r="F58" s="9">
        <f t="shared" si="6"/>
        <v>1</v>
      </c>
      <c r="G58" s="25"/>
      <c r="M58" s="11"/>
      <c r="N58" s="11" t="s">
        <v>20</v>
      </c>
      <c r="O58" s="11">
        <f t="shared" si="7"/>
        <v>1</v>
      </c>
    </row>
    <row r="59" spans="1:15">
      <c r="A59" s="14" t="s">
        <v>84</v>
      </c>
      <c r="B59" s="15" t="s">
        <v>3</v>
      </c>
      <c r="D59" s="1" t="s">
        <v>83</v>
      </c>
      <c r="E59" s="8" t="s">
        <v>14</v>
      </c>
      <c r="F59" s="9">
        <f t="shared" si="6"/>
        <v>1</v>
      </c>
      <c r="G59" s="25"/>
      <c r="M59" s="11" t="s">
        <v>86</v>
      </c>
      <c r="N59" s="11" t="s">
        <v>25</v>
      </c>
      <c r="O59" s="11">
        <f t="shared" si="7"/>
        <v>1</v>
      </c>
    </row>
    <row r="60" spans="1:15">
      <c r="A60" s="14" t="s">
        <v>83</v>
      </c>
      <c r="B60" s="15" t="s">
        <v>51</v>
      </c>
      <c r="D60" s="1" t="s">
        <v>84</v>
      </c>
      <c r="E60" s="8" t="s">
        <v>92</v>
      </c>
      <c r="F60" s="9">
        <f t="shared" si="6"/>
        <v>1</v>
      </c>
      <c r="G60" s="25"/>
      <c r="M60" s="11" t="s">
        <v>83</v>
      </c>
      <c r="N60" s="11" t="s">
        <v>47</v>
      </c>
      <c r="O60" s="11">
        <f t="shared" si="7"/>
        <v>1</v>
      </c>
    </row>
    <row r="61" spans="1:15">
      <c r="A61" s="14" t="s">
        <v>83</v>
      </c>
      <c r="B61" s="15" t="s">
        <v>51</v>
      </c>
      <c r="D61" s="1" t="s">
        <v>83</v>
      </c>
      <c r="E61" s="8" t="s">
        <v>23</v>
      </c>
      <c r="F61" s="9">
        <f t="shared" si="6"/>
        <v>1</v>
      </c>
      <c r="G61" s="25"/>
      <c r="M61" s="11" t="s">
        <v>87</v>
      </c>
      <c r="N61" s="11" t="s">
        <v>24</v>
      </c>
      <c r="O61" s="11">
        <f t="shared" si="7"/>
        <v>1</v>
      </c>
    </row>
    <row r="62" spans="1:15" ht="14.25" thickBot="1">
      <c r="A62" s="14" t="s">
        <v>84</v>
      </c>
      <c r="B62" s="15" t="s">
        <v>17</v>
      </c>
      <c r="D62" s="1" t="s">
        <v>84</v>
      </c>
      <c r="E62" s="8" t="s">
        <v>45</v>
      </c>
      <c r="F62" s="9">
        <f t="shared" si="6"/>
        <v>1</v>
      </c>
      <c r="G62" s="25"/>
      <c r="M62" s="11" t="s">
        <v>86</v>
      </c>
      <c r="N62" s="11" t="s">
        <v>21</v>
      </c>
      <c r="O62" s="11">
        <f t="shared" si="7"/>
        <v>1</v>
      </c>
    </row>
    <row r="63" spans="1:15" ht="113.25" thickBot="1">
      <c r="A63" s="14" t="s">
        <v>84</v>
      </c>
      <c r="B63" s="15" t="s">
        <v>17</v>
      </c>
      <c r="E63" s="21" t="s">
        <v>88</v>
      </c>
      <c r="F63" s="6" t="s">
        <v>103</v>
      </c>
      <c r="G63" s="26"/>
      <c r="M63" s="11" t="s">
        <v>86</v>
      </c>
      <c r="N63" s="11" t="s">
        <v>41</v>
      </c>
      <c r="O63" s="11">
        <f t="shared" si="7"/>
        <v>1</v>
      </c>
    </row>
    <row r="64" spans="1:15">
      <c r="A64" s="14" t="s">
        <v>83</v>
      </c>
      <c r="B64" s="15" t="s">
        <v>10</v>
      </c>
      <c r="E64" s="1" t="s">
        <v>83</v>
      </c>
      <c r="F64" s="1">
        <f>COUNTIF(D$2:D$62,E64)</f>
        <v>20</v>
      </c>
      <c r="M64" s="11" t="s">
        <v>83</v>
      </c>
      <c r="N64" s="11" t="s">
        <v>14</v>
      </c>
      <c r="O64" s="11">
        <f t="shared" si="7"/>
        <v>1</v>
      </c>
    </row>
    <row r="65" spans="1:15">
      <c r="A65" s="14" t="s">
        <v>85</v>
      </c>
      <c r="B65" s="15" t="s">
        <v>22</v>
      </c>
      <c r="E65" s="1" t="s">
        <v>84</v>
      </c>
      <c r="F65" s="1">
        <f>COUNTIF(D$2:D$62,E65)</f>
        <v>12</v>
      </c>
      <c r="M65" s="11" t="s">
        <v>84</v>
      </c>
      <c r="N65" s="11" t="s">
        <v>92</v>
      </c>
      <c r="O65" s="11">
        <f t="shared" si="7"/>
        <v>1</v>
      </c>
    </row>
    <row r="66" spans="1:15">
      <c r="A66" s="14"/>
      <c r="B66" s="15" t="s">
        <v>20</v>
      </c>
      <c r="E66" s="1" t="s">
        <v>85</v>
      </c>
      <c r="F66" s="1">
        <f t="shared" ref="F66" si="8">COUNTIF(D$2:D$62,E66)</f>
        <v>5</v>
      </c>
      <c r="M66" s="11" t="s">
        <v>83</v>
      </c>
      <c r="N66" s="11" t="s">
        <v>23</v>
      </c>
      <c r="O66" s="11">
        <f t="shared" ref="O66:O74" si="9">COUNTIF(B$2:B$155,N66)</f>
        <v>1</v>
      </c>
    </row>
    <row r="67" spans="1:15">
      <c r="A67" s="14" t="s">
        <v>86</v>
      </c>
      <c r="B67" s="15" t="s">
        <v>25</v>
      </c>
      <c r="E67" s="1" t="s">
        <v>87</v>
      </c>
      <c r="F67" s="1">
        <f>COUNTIF(D$2:D$62,E67)</f>
        <v>5</v>
      </c>
      <c r="M67" s="11" t="s">
        <v>85</v>
      </c>
      <c r="N67" s="11" t="s">
        <v>69</v>
      </c>
      <c r="O67" s="11">
        <f t="shared" si="9"/>
        <v>1</v>
      </c>
    </row>
    <row r="68" spans="1:15">
      <c r="A68" s="14" t="s">
        <v>85</v>
      </c>
      <c r="B68" s="15" t="s">
        <v>19</v>
      </c>
      <c r="M68" s="11" t="s">
        <v>87</v>
      </c>
      <c r="N68" s="11" t="s">
        <v>98</v>
      </c>
      <c r="O68" s="11">
        <f t="shared" si="9"/>
        <v>1</v>
      </c>
    </row>
    <row r="69" spans="1:15">
      <c r="A69" s="14" t="s">
        <v>85</v>
      </c>
      <c r="B69" s="15" t="s">
        <v>19</v>
      </c>
      <c r="M69" s="11" t="s">
        <v>83</v>
      </c>
      <c r="N69" s="11" t="s">
        <v>72</v>
      </c>
      <c r="O69" s="11">
        <f t="shared" si="9"/>
        <v>1</v>
      </c>
    </row>
    <row r="70" spans="1:15">
      <c r="A70" s="14" t="s">
        <v>83</v>
      </c>
      <c r="B70" s="15" t="s">
        <v>47</v>
      </c>
      <c r="M70" s="11" t="s">
        <v>85</v>
      </c>
      <c r="N70" s="11" t="s">
        <v>70</v>
      </c>
      <c r="O70" s="11">
        <f t="shared" si="9"/>
        <v>1</v>
      </c>
    </row>
    <row r="71" spans="1:15">
      <c r="A71" s="14" t="s">
        <v>84</v>
      </c>
      <c r="B71" s="15" t="s">
        <v>60</v>
      </c>
      <c r="M71" s="11" t="s">
        <v>84</v>
      </c>
      <c r="N71" s="11" t="s">
        <v>66</v>
      </c>
      <c r="O71" s="11">
        <f t="shared" si="9"/>
        <v>1</v>
      </c>
    </row>
    <row r="72" spans="1:15">
      <c r="A72" s="14" t="s">
        <v>87</v>
      </c>
      <c r="B72" s="15" t="s">
        <v>24</v>
      </c>
      <c r="M72" s="11" t="s">
        <v>87</v>
      </c>
      <c r="N72" s="11" t="s">
        <v>95</v>
      </c>
      <c r="O72" s="11">
        <f t="shared" si="9"/>
        <v>1</v>
      </c>
    </row>
    <row r="73" spans="1:15">
      <c r="A73" s="14" t="s">
        <v>86</v>
      </c>
      <c r="B73" s="15" t="s">
        <v>21</v>
      </c>
      <c r="M73" s="11"/>
      <c r="N73" s="11" t="s">
        <v>74</v>
      </c>
      <c r="O73" s="11">
        <f t="shared" si="9"/>
        <v>1</v>
      </c>
    </row>
    <row r="74" spans="1:15" ht="14.25" thickBot="1">
      <c r="A74" s="14" t="s">
        <v>87</v>
      </c>
      <c r="B74" s="15" t="s">
        <v>34</v>
      </c>
      <c r="M74" s="11" t="s">
        <v>87</v>
      </c>
      <c r="N74" s="11" t="s">
        <v>76</v>
      </c>
      <c r="O74" s="11">
        <f t="shared" si="9"/>
        <v>1</v>
      </c>
    </row>
    <row r="75" spans="1:15" ht="132" thickBot="1">
      <c r="A75" s="14" t="s">
        <v>87</v>
      </c>
      <c r="B75" s="15" t="s">
        <v>96</v>
      </c>
      <c r="N75" s="10" t="s">
        <v>88</v>
      </c>
      <c r="O75" s="10" t="s">
        <v>105</v>
      </c>
    </row>
    <row r="76" spans="1:15">
      <c r="A76" s="14" t="s">
        <v>84</v>
      </c>
      <c r="B76" s="15" t="s">
        <v>0</v>
      </c>
      <c r="N76" s="11" t="s">
        <v>83</v>
      </c>
      <c r="O76" s="11">
        <f>COUNTIF(M$2:M$74,N76)</f>
        <v>22</v>
      </c>
    </row>
    <row r="77" spans="1:15">
      <c r="A77" s="14" t="s">
        <v>84</v>
      </c>
      <c r="B77" s="15" t="s">
        <v>32</v>
      </c>
      <c r="N77" s="11" t="s">
        <v>84</v>
      </c>
      <c r="O77" s="11">
        <f t="shared" ref="O77:O79" si="10">COUNTIF(M$2:M$74,N77)</f>
        <v>13</v>
      </c>
    </row>
    <row r="78" spans="1:15">
      <c r="A78" s="14" t="s">
        <v>84</v>
      </c>
      <c r="B78" s="15" t="s">
        <v>32</v>
      </c>
      <c r="N78" s="11" t="s">
        <v>85</v>
      </c>
      <c r="O78" s="11">
        <f t="shared" si="10"/>
        <v>7</v>
      </c>
    </row>
    <row r="79" spans="1:15">
      <c r="A79" s="14" t="s">
        <v>84</v>
      </c>
      <c r="B79" s="15" t="s">
        <v>32</v>
      </c>
      <c r="N79" s="11" t="s">
        <v>87</v>
      </c>
      <c r="O79" s="11">
        <f t="shared" si="10"/>
        <v>10</v>
      </c>
    </row>
    <row r="80" spans="1:15">
      <c r="A80" s="14" t="s">
        <v>86</v>
      </c>
      <c r="B80" s="15" t="s">
        <v>41</v>
      </c>
    </row>
    <row r="81" spans="1:2">
      <c r="A81" s="14" t="s">
        <v>83</v>
      </c>
      <c r="B81" s="15" t="s">
        <v>14</v>
      </c>
    </row>
    <row r="82" spans="1:2">
      <c r="A82" s="14" t="s">
        <v>85</v>
      </c>
      <c r="B82" s="15" t="s">
        <v>8</v>
      </c>
    </row>
    <row r="83" spans="1:2">
      <c r="A83" s="14" t="s">
        <v>85</v>
      </c>
      <c r="B83" s="15" t="s">
        <v>18</v>
      </c>
    </row>
    <row r="84" spans="1:2">
      <c r="A84" s="14" t="s">
        <v>85</v>
      </c>
      <c r="B84" s="15" t="s">
        <v>18</v>
      </c>
    </row>
    <row r="85" spans="1:2">
      <c r="A85" s="14" t="s">
        <v>85</v>
      </c>
      <c r="B85" s="15" t="s">
        <v>18</v>
      </c>
    </row>
    <row r="86" spans="1:2">
      <c r="A86" s="14" t="s">
        <v>84</v>
      </c>
      <c r="B86" s="15" t="s">
        <v>92</v>
      </c>
    </row>
    <row r="87" spans="1:2">
      <c r="A87" s="14" t="s">
        <v>83</v>
      </c>
      <c r="B87" s="15" t="s">
        <v>23</v>
      </c>
    </row>
    <row r="88" spans="1:2">
      <c r="A88" s="14" t="s">
        <v>84</v>
      </c>
      <c r="B88" s="15" t="s">
        <v>45</v>
      </c>
    </row>
    <row r="89" spans="1:2">
      <c r="A89" s="14" t="s">
        <v>87</v>
      </c>
      <c r="B89" s="16" t="s">
        <v>62</v>
      </c>
    </row>
    <row r="90" spans="1:2">
      <c r="A90" s="14" t="s">
        <v>87</v>
      </c>
      <c r="B90" s="16" t="s">
        <v>62</v>
      </c>
    </row>
    <row r="91" spans="1:2">
      <c r="A91" s="14" t="s">
        <v>87</v>
      </c>
      <c r="B91" s="16" t="s">
        <v>62</v>
      </c>
    </row>
    <row r="92" spans="1:2">
      <c r="A92" s="14" t="s">
        <v>85</v>
      </c>
      <c r="B92" s="16" t="s">
        <v>35</v>
      </c>
    </row>
    <row r="93" spans="1:2">
      <c r="A93" s="14"/>
      <c r="B93" s="16" t="s">
        <v>71</v>
      </c>
    </row>
    <row r="94" spans="1:2">
      <c r="A94" s="14"/>
      <c r="B94" s="16" t="s">
        <v>71</v>
      </c>
    </row>
    <row r="95" spans="1:2">
      <c r="A95" s="14" t="s">
        <v>83</v>
      </c>
      <c r="B95" s="16" t="s">
        <v>43</v>
      </c>
    </row>
    <row r="96" spans="1:2">
      <c r="A96" s="14" t="s">
        <v>83</v>
      </c>
      <c r="B96" s="16" t="s">
        <v>43</v>
      </c>
    </row>
    <row r="97" spans="1:5">
      <c r="A97" s="14" t="s">
        <v>83</v>
      </c>
      <c r="B97" s="16" t="s">
        <v>15</v>
      </c>
    </row>
    <row r="98" spans="1:5">
      <c r="A98" s="14" t="s">
        <v>84</v>
      </c>
      <c r="B98" s="16" t="s">
        <v>1</v>
      </c>
    </row>
    <row r="99" spans="1:5">
      <c r="A99" s="14" t="s">
        <v>87</v>
      </c>
      <c r="B99" s="16" t="s">
        <v>63</v>
      </c>
    </row>
    <row r="100" spans="1:5">
      <c r="A100" s="14" t="s">
        <v>87</v>
      </c>
      <c r="B100" s="16" t="s">
        <v>63</v>
      </c>
    </row>
    <row r="101" spans="1:5">
      <c r="A101" s="14" t="s">
        <v>83</v>
      </c>
      <c r="B101" s="16" t="s">
        <v>13</v>
      </c>
    </row>
    <row r="102" spans="1:5">
      <c r="A102" s="14" t="s">
        <v>83</v>
      </c>
      <c r="B102" s="16" t="s">
        <v>13</v>
      </c>
    </row>
    <row r="103" spans="1:5">
      <c r="A103" s="14" t="s">
        <v>83</v>
      </c>
      <c r="B103" s="16" t="s">
        <v>31</v>
      </c>
    </row>
    <row r="104" spans="1:5">
      <c r="A104" s="14" t="s">
        <v>83</v>
      </c>
      <c r="B104" s="16" t="s">
        <v>31</v>
      </c>
    </row>
    <row r="105" spans="1:5">
      <c r="A105" s="14" t="s">
        <v>83</v>
      </c>
      <c r="B105" s="16" t="s">
        <v>13</v>
      </c>
    </row>
    <row r="106" spans="1:5">
      <c r="A106" s="14" t="s">
        <v>83</v>
      </c>
      <c r="B106" s="16" t="s">
        <v>67</v>
      </c>
    </row>
    <row r="107" spans="1:5">
      <c r="A107" s="14" t="s">
        <v>83</v>
      </c>
      <c r="B107" s="16" t="s">
        <v>68</v>
      </c>
      <c r="E107"/>
    </row>
    <row r="108" spans="1:5">
      <c r="A108" s="14" t="s">
        <v>85</v>
      </c>
      <c r="B108" s="16" t="s">
        <v>9</v>
      </c>
      <c r="E108"/>
    </row>
    <row r="109" spans="1:5">
      <c r="A109" s="14" t="s">
        <v>85</v>
      </c>
      <c r="B109" s="16" t="s">
        <v>9</v>
      </c>
      <c r="E109"/>
    </row>
    <row r="110" spans="1:5">
      <c r="A110" s="14" t="s">
        <v>85</v>
      </c>
      <c r="B110" s="16" t="s">
        <v>9</v>
      </c>
      <c r="E110"/>
    </row>
    <row r="111" spans="1:5">
      <c r="A111" s="14" t="s">
        <v>85</v>
      </c>
      <c r="B111" s="16" t="s">
        <v>9</v>
      </c>
      <c r="E111"/>
    </row>
    <row r="112" spans="1:5">
      <c r="A112" s="14" t="s">
        <v>83</v>
      </c>
      <c r="B112" s="16" t="s">
        <v>64</v>
      </c>
      <c r="E112"/>
    </row>
    <row r="113" spans="1:5">
      <c r="A113" s="14" t="s">
        <v>83</v>
      </c>
      <c r="B113" s="16" t="s">
        <v>64</v>
      </c>
      <c r="E113"/>
    </row>
    <row r="114" spans="1:5">
      <c r="A114" s="14" t="s">
        <v>85</v>
      </c>
      <c r="B114" s="16" t="s">
        <v>69</v>
      </c>
      <c r="E114"/>
    </row>
    <row r="115" spans="1:5">
      <c r="A115" s="14" t="s">
        <v>87</v>
      </c>
      <c r="B115" s="16" t="s">
        <v>98</v>
      </c>
      <c r="E115"/>
    </row>
    <row r="116" spans="1:5">
      <c r="A116" s="14" t="s">
        <v>83</v>
      </c>
      <c r="B116" s="16" t="s">
        <v>51</v>
      </c>
      <c r="E116"/>
    </row>
    <row r="117" spans="1:5">
      <c r="A117" s="14" t="s">
        <v>83</v>
      </c>
      <c r="B117" s="16" t="s">
        <v>51</v>
      </c>
      <c r="E117"/>
    </row>
    <row r="118" spans="1:5">
      <c r="A118" s="14" t="s">
        <v>83</v>
      </c>
      <c r="B118" s="16" t="s">
        <v>65</v>
      </c>
      <c r="E118"/>
    </row>
    <row r="119" spans="1:5">
      <c r="A119" s="14" t="s">
        <v>83</v>
      </c>
      <c r="B119" s="16" t="s">
        <v>10</v>
      </c>
      <c r="E119"/>
    </row>
    <row r="120" spans="1:5">
      <c r="A120" s="14" t="s">
        <v>83</v>
      </c>
      <c r="B120" s="16" t="s">
        <v>65</v>
      </c>
      <c r="E120"/>
    </row>
    <row r="121" spans="1:5">
      <c r="A121" s="14" t="s">
        <v>83</v>
      </c>
      <c r="B121" s="16" t="s">
        <v>72</v>
      </c>
      <c r="E121"/>
    </row>
    <row r="122" spans="1:5">
      <c r="A122" s="14" t="s">
        <v>85</v>
      </c>
      <c r="B122" s="16" t="s">
        <v>70</v>
      </c>
      <c r="E122"/>
    </row>
    <row r="123" spans="1:5">
      <c r="A123" s="14" t="s">
        <v>85</v>
      </c>
      <c r="B123" s="16" t="s">
        <v>19</v>
      </c>
      <c r="E123"/>
    </row>
    <row r="124" spans="1:5">
      <c r="A124" s="14" t="s">
        <v>85</v>
      </c>
      <c r="B124" s="16" t="s">
        <v>19</v>
      </c>
      <c r="E124"/>
    </row>
    <row r="125" spans="1:5">
      <c r="A125" s="14" t="s">
        <v>84</v>
      </c>
      <c r="B125" s="16" t="s">
        <v>60</v>
      </c>
      <c r="E125"/>
    </row>
    <row r="126" spans="1:5">
      <c r="A126" s="14" t="s">
        <v>84</v>
      </c>
      <c r="B126" s="16" t="s">
        <v>66</v>
      </c>
      <c r="E126"/>
    </row>
    <row r="127" spans="1:5">
      <c r="A127" s="14" t="s">
        <v>84</v>
      </c>
      <c r="B127" s="16" t="s">
        <v>32</v>
      </c>
      <c r="E127"/>
    </row>
    <row r="128" spans="1:5">
      <c r="A128" s="14" t="s">
        <v>84</v>
      </c>
      <c r="B128" s="16" t="s">
        <v>32</v>
      </c>
      <c r="E128"/>
    </row>
    <row r="129" spans="1:5">
      <c r="A129" s="14" t="s">
        <v>85</v>
      </c>
      <c r="B129" s="16" t="s">
        <v>18</v>
      </c>
      <c r="E129"/>
    </row>
    <row r="130" spans="1:5">
      <c r="A130" s="14" t="s">
        <v>85</v>
      </c>
      <c r="B130" s="16" t="s">
        <v>18</v>
      </c>
      <c r="E130"/>
    </row>
    <row r="131" spans="1:5">
      <c r="A131" s="14" t="s">
        <v>85</v>
      </c>
      <c r="B131" s="16" t="s">
        <v>18</v>
      </c>
    </row>
    <row r="132" spans="1:5">
      <c r="A132" s="14" t="s">
        <v>85</v>
      </c>
      <c r="B132" s="16" t="s">
        <v>18</v>
      </c>
    </row>
    <row r="133" spans="1:5">
      <c r="A133" s="14" t="s">
        <v>85</v>
      </c>
      <c r="B133" s="16" t="s">
        <v>18</v>
      </c>
    </row>
    <row r="134" spans="1:5">
      <c r="A134" s="14" t="s">
        <v>85</v>
      </c>
      <c r="B134" s="16" t="s">
        <v>18</v>
      </c>
    </row>
    <row r="135" spans="1:5">
      <c r="A135" s="14" t="s">
        <v>85</v>
      </c>
      <c r="B135" s="16" t="s">
        <v>8</v>
      </c>
    </row>
    <row r="136" spans="1:5">
      <c r="A136" s="14" t="s">
        <v>87</v>
      </c>
      <c r="B136" s="16" t="s">
        <v>95</v>
      </c>
    </row>
    <row r="137" spans="1:5">
      <c r="A137" s="14"/>
      <c r="B137" s="17" t="s">
        <v>74</v>
      </c>
    </row>
    <row r="138" spans="1:5">
      <c r="A138" s="14" t="s">
        <v>83</v>
      </c>
      <c r="B138" s="17" t="s">
        <v>80</v>
      </c>
    </row>
    <row r="139" spans="1:5">
      <c r="A139" s="14" t="s">
        <v>87</v>
      </c>
      <c r="B139" s="17" t="s">
        <v>76</v>
      </c>
    </row>
    <row r="140" spans="1:5">
      <c r="A140" s="14" t="s">
        <v>83</v>
      </c>
      <c r="B140" s="17" t="s">
        <v>13</v>
      </c>
    </row>
    <row r="141" spans="1:5">
      <c r="A141" s="14" t="s">
        <v>85</v>
      </c>
      <c r="B141" s="17" t="s">
        <v>9</v>
      </c>
    </row>
    <row r="142" spans="1:5">
      <c r="A142" s="14" t="s">
        <v>85</v>
      </c>
      <c r="B142" s="17" t="s">
        <v>9</v>
      </c>
    </row>
    <row r="143" spans="1:5">
      <c r="A143" s="14" t="s">
        <v>84</v>
      </c>
      <c r="B143" s="17" t="s">
        <v>73</v>
      </c>
    </row>
    <row r="144" spans="1:5">
      <c r="A144" s="14" t="s">
        <v>84</v>
      </c>
      <c r="B144" s="17" t="s">
        <v>17</v>
      </c>
    </row>
    <row r="145" spans="1:7">
      <c r="A145" s="14" t="s">
        <v>85</v>
      </c>
      <c r="B145" s="17" t="s">
        <v>19</v>
      </c>
    </row>
    <row r="146" spans="1:7">
      <c r="A146" s="14" t="s">
        <v>85</v>
      </c>
      <c r="B146" s="17" t="s">
        <v>75</v>
      </c>
    </row>
    <row r="147" spans="1:7">
      <c r="A147" s="14" t="s">
        <v>84</v>
      </c>
      <c r="B147" s="17" t="s">
        <v>0</v>
      </c>
      <c r="E147"/>
      <c r="F147"/>
    </row>
    <row r="148" spans="1:7">
      <c r="A148" s="14" t="s">
        <v>85</v>
      </c>
      <c r="B148" s="17" t="s">
        <v>18</v>
      </c>
      <c r="E148"/>
      <c r="F148"/>
    </row>
    <row r="149" spans="1:7">
      <c r="A149" s="14" t="s">
        <v>85</v>
      </c>
      <c r="B149" s="17" t="s">
        <v>18</v>
      </c>
      <c r="E149"/>
      <c r="F149"/>
      <c r="G149"/>
    </row>
    <row r="150" spans="1:7">
      <c r="A150" s="14" t="s">
        <v>85</v>
      </c>
      <c r="B150" s="17" t="s">
        <v>18</v>
      </c>
      <c r="E150"/>
      <c r="F150"/>
      <c r="G150"/>
    </row>
    <row r="151" spans="1:7">
      <c r="A151" s="14" t="s">
        <v>85</v>
      </c>
      <c r="B151" s="17" t="s">
        <v>18</v>
      </c>
      <c r="E151"/>
      <c r="F151"/>
      <c r="G151"/>
    </row>
    <row r="152" spans="1:7">
      <c r="A152" s="14" t="s">
        <v>85</v>
      </c>
      <c r="B152" s="17" t="s">
        <v>18</v>
      </c>
      <c r="E152"/>
      <c r="F152"/>
      <c r="G152"/>
    </row>
    <row r="153" spans="1:7">
      <c r="A153" s="14" t="s">
        <v>85</v>
      </c>
      <c r="B153" s="17" t="s">
        <v>18</v>
      </c>
      <c r="E153"/>
      <c r="F153"/>
      <c r="G153"/>
    </row>
    <row r="154" spans="1:7">
      <c r="A154" s="14" t="s">
        <v>85</v>
      </c>
      <c r="B154" s="17" t="s">
        <v>18</v>
      </c>
      <c r="E154"/>
      <c r="F154"/>
      <c r="G154"/>
    </row>
    <row r="155" spans="1:7" ht="14.25" thickBot="1">
      <c r="A155" s="18" t="s">
        <v>84</v>
      </c>
      <c r="B155" s="19" t="s">
        <v>45</v>
      </c>
      <c r="E155"/>
      <c r="F155"/>
      <c r="G155"/>
    </row>
    <row r="156" spans="1:7">
      <c r="F156"/>
      <c r="G156"/>
    </row>
    <row r="157" spans="1:7">
      <c r="F157"/>
      <c r="G157"/>
    </row>
    <row r="158" spans="1:7">
      <c r="F158"/>
      <c r="G158"/>
    </row>
    <row r="159" spans="1:7">
      <c r="F159"/>
      <c r="G159"/>
    </row>
    <row r="160" spans="1:7">
      <c r="F160"/>
      <c r="G160"/>
    </row>
    <row r="161" spans="6:7">
      <c r="F161"/>
      <c r="G161"/>
    </row>
    <row r="162" spans="6:7">
      <c r="F162"/>
      <c r="G162"/>
    </row>
    <row r="163" spans="6:7">
      <c r="F163"/>
      <c r="G163"/>
    </row>
    <row r="164" spans="6:7">
      <c r="F164"/>
      <c r="G164"/>
    </row>
    <row r="165" spans="6:7">
      <c r="F165"/>
      <c r="G165"/>
    </row>
    <row r="166" spans="6:7">
      <c r="F166"/>
      <c r="G166"/>
    </row>
    <row r="167" spans="6:7">
      <c r="F167"/>
      <c r="G167"/>
    </row>
    <row r="168" spans="6:7">
      <c r="F168"/>
      <c r="G168"/>
    </row>
    <row r="169" spans="6:7">
      <c r="F169"/>
      <c r="G169"/>
    </row>
    <row r="170" spans="6:7">
      <c r="F170"/>
      <c r="G170"/>
    </row>
    <row r="171" spans="6:7">
      <c r="F171"/>
      <c r="G171"/>
    </row>
    <row r="172" spans="6:7">
      <c r="F172"/>
      <c r="G172"/>
    </row>
    <row r="173" spans="6:7">
      <c r="F173"/>
      <c r="G173"/>
    </row>
    <row r="174" spans="6:7">
      <c r="F174"/>
      <c r="G174"/>
    </row>
    <row r="175" spans="6:7">
      <c r="F175"/>
      <c r="G175"/>
    </row>
    <row r="176" spans="6:7">
      <c r="F176"/>
      <c r="G176"/>
    </row>
    <row r="177" spans="6:7">
      <c r="F177"/>
      <c r="G177"/>
    </row>
    <row r="178" spans="6:7">
      <c r="F178"/>
      <c r="G178"/>
    </row>
    <row r="179" spans="6:7">
      <c r="F179"/>
      <c r="G179"/>
    </row>
    <row r="180" spans="6:7">
      <c r="F180"/>
      <c r="G180"/>
    </row>
    <row r="181" spans="6:7">
      <c r="F181"/>
      <c r="G181"/>
    </row>
    <row r="182" spans="6:7">
      <c r="F182"/>
      <c r="G182"/>
    </row>
    <row r="183" spans="6:7">
      <c r="F183"/>
      <c r="G183"/>
    </row>
    <row r="184" spans="6:7">
      <c r="F184"/>
      <c r="G184"/>
    </row>
    <row r="185" spans="6:7">
      <c r="F185"/>
      <c r="G185"/>
    </row>
    <row r="186" spans="6:7">
      <c r="F186"/>
      <c r="G186"/>
    </row>
    <row r="187" spans="6:7">
      <c r="F187"/>
      <c r="G187"/>
    </row>
    <row r="188" spans="6:7">
      <c r="F188"/>
      <c r="G188"/>
    </row>
    <row r="189" spans="6:7">
      <c r="F189"/>
      <c r="G189"/>
    </row>
    <row r="190" spans="6:7">
      <c r="F190"/>
      <c r="G190"/>
    </row>
    <row r="191" spans="6:7">
      <c r="F191"/>
      <c r="G191"/>
    </row>
    <row r="192" spans="6:7">
      <c r="F192"/>
      <c r="G192"/>
    </row>
    <row r="193" spans="6:7">
      <c r="F193"/>
      <c r="G193"/>
    </row>
    <row r="194" spans="6:7">
      <c r="F194"/>
      <c r="G194"/>
    </row>
    <row r="195" spans="6:7">
      <c r="F195"/>
      <c r="G195"/>
    </row>
    <row r="196" spans="6:7">
      <c r="F196"/>
      <c r="G196"/>
    </row>
    <row r="197" spans="6:7">
      <c r="F197"/>
      <c r="G197"/>
    </row>
    <row r="198" spans="6:7">
      <c r="F198"/>
      <c r="G198"/>
    </row>
    <row r="199" spans="6:7">
      <c r="F199"/>
      <c r="G199"/>
    </row>
    <row r="200" spans="6:7">
      <c r="F200"/>
      <c r="G200"/>
    </row>
    <row r="201" spans="6:7">
      <c r="F201"/>
      <c r="G201"/>
    </row>
    <row r="202" spans="6:7">
      <c r="F202"/>
      <c r="G202"/>
    </row>
    <row r="203" spans="6:7">
      <c r="F203"/>
      <c r="G203"/>
    </row>
    <row r="204" spans="6:7">
      <c r="F204"/>
      <c r="G204"/>
    </row>
    <row r="205" spans="6:7">
      <c r="F205"/>
      <c r="G205"/>
    </row>
    <row r="206" spans="6:7">
      <c r="F206"/>
      <c r="G206"/>
    </row>
    <row r="207" spans="6:7">
      <c r="F207"/>
      <c r="G207"/>
    </row>
    <row r="208" spans="6:7">
      <c r="F208"/>
      <c r="G208"/>
    </row>
    <row r="209" spans="6:7">
      <c r="F209"/>
      <c r="G209"/>
    </row>
    <row r="210" spans="6:7">
      <c r="F210"/>
      <c r="G210"/>
    </row>
    <row r="211" spans="6:7">
      <c r="F211"/>
      <c r="G211"/>
    </row>
    <row r="212" spans="6:7">
      <c r="F212"/>
      <c r="G212"/>
    </row>
    <row r="213" spans="6:7">
      <c r="F213"/>
      <c r="G213"/>
    </row>
    <row r="214" spans="6:7">
      <c r="F214"/>
      <c r="G214"/>
    </row>
    <row r="215" spans="6:7">
      <c r="F215"/>
      <c r="G215"/>
    </row>
    <row r="216" spans="6:7">
      <c r="F216"/>
      <c r="G216"/>
    </row>
    <row r="217" spans="6:7">
      <c r="F217"/>
      <c r="G217"/>
    </row>
    <row r="218" spans="6:7">
      <c r="F218"/>
      <c r="G218"/>
    </row>
    <row r="219" spans="6:7">
      <c r="F219"/>
      <c r="G219"/>
    </row>
    <row r="220" spans="6:7">
      <c r="F220"/>
      <c r="G220"/>
    </row>
    <row r="221" spans="6:7">
      <c r="F221"/>
      <c r="G221"/>
    </row>
    <row r="222" spans="6:7">
      <c r="F222"/>
      <c r="G222"/>
    </row>
    <row r="223" spans="6:7">
      <c r="F223"/>
      <c r="G223"/>
    </row>
    <row r="224" spans="6:7">
      <c r="F224"/>
      <c r="G224"/>
    </row>
    <row r="225" spans="6:7">
      <c r="F225"/>
      <c r="G225"/>
    </row>
    <row r="226" spans="6:7">
      <c r="F226"/>
      <c r="G226"/>
    </row>
    <row r="227" spans="6:7">
      <c r="F227"/>
      <c r="G227"/>
    </row>
  </sheetData>
  <sortState ref="J2:L11">
    <sortCondition descending="1" ref="L2:L11"/>
  </sortState>
  <phoneticPr fontId="5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ADFE25-FB78-4277-88B3-A77F6FF97F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</dc:creator>
  <cp:lastModifiedBy>User</cp:lastModifiedBy>
  <dcterms:created xsi:type="dcterms:W3CDTF">2020-03-28T22:39:40Z</dcterms:created>
  <dcterms:modified xsi:type="dcterms:W3CDTF">2020-03-31T18:58:20Z</dcterms:modified>
</cp:coreProperties>
</file>