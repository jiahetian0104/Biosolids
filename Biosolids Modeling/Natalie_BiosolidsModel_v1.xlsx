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ack/Desktop/MSU/Model/Biosolids Modeling/"/>
    </mc:Choice>
  </mc:AlternateContent>
  <xr:revisionPtr revIDLastSave="0" documentId="13_ncr:1_{1ACF7C35-EFC6-7E4B-9BE3-203C30F9390D}" xr6:coauthVersionLast="47" xr6:coauthVersionMax="47" xr10:uidLastSave="{00000000-0000-0000-0000-000000000000}"/>
  <bookViews>
    <workbookView xWindow="-1020" yWindow="-20200" windowWidth="30040" windowHeight="18060" tabRatio="905" xr2:uid="{324364BF-CF04-46ED-9EF1-643F4EF64F58}"/>
  </bookViews>
  <sheets>
    <sheet name="Fake Concentrations" sheetId="6" r:id="rId1"/>
    <sheet name="BiosolidConc." sheetId="22" r:id="rId2"/>
    <sheet name="BiosolidAppl" sheetId="23" r:id="rId3"/>
    <sheet name="SoyPlantUptake" sheetId="7" r:id="rId4"/>
    <sheet name="SoyHumanConsumption" sheetId="8" r:id="rId5"/>
    <sheet name="Reference Doses" sheetId="12" r:id="rId6"/>
    <sheet name="Equations" sheetId="5" r:id="rId7"/>
    <sheet name="CornPlantUptake" sheetId="13" r:id="rId8"/>
    <sheet name="WheatPlantUptake" sheetId="14" r:id="rId9"/>
    <sheet name="DairyHumanConsumption" sheetId="3" r:id="rId10"/>
    <sheet name="BeefHumanConsumption" sheetId="9" r:id="rId11"/>
    <sheet name="CornHumanConsumption" sheetId="10" r:id="rId12"/>
    <sheet name="WheatHumanConsumption" sheetId="11" r:id="rId13"/>
    <sheet name="Human Weight" sheetId="4" r:id="rId14"/>
  </sheets>
  <definedNames>
    <definedName name="bbib105" localSheetId="7">CornPlantUptake!$E$28</definedName>
    <definedName name="bbib12" localSheetId="7">CornPlantUptake!$E$37</definedName>
    <definedName name="bbib120" localSheetId="8">WheatPlantUptake!$E$7</definedName>
    <definedName name="bbib71" localSheetId="7">CornPlantUptake!$E$31</definedName>
    <definedName name="bbib88" localSheetId="7">CornPlantUptake!$E$44</definedName>
    <definedName name="btbl2fna" localSheetId="3">SoyPlantUptake!$B$23</definedName>
    <definedName name="btbl3fnb" localSheetId="7">CornPlantUptake!$C$75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 i="12" l="1"/>
  <c r="S26" i="12"/>
  <c r="G4" i="7"/>
  <c r="G11" i="23"/>
  <c r="F13" i="23"/>
  <c r="G13" i="23" s="1"/>
  <c r="H13" i="23" s="1"/>
  <c r="G16" i="7" s="1"/>
  <c r="G17" i="7" s="1"/>
  <c r="F25" i="5" s="1"/>
  <c r="F11" i="23"/>
  <c r="H11" i="23" s="1"/>
  <c r="G10" i="7"/>
  <c r="H12" i="23"/>
  <c r="G12" i="23"/>
  <c r="F12" i="23"/>
  <c r="G8" i="7"/>
  <c r="G9" i="7"/>
  <c r="G11" i="7"/>
  <c r="G7" i="7"/>
  <c r="G5" i="7"/>
  <c r="G6" i="7"/>
  <c r="B11" i="12"/>
  <c r="B9" i="12"/>
  <c r="B7" i="12"/>
  <c r="B5" i="12"/>
  <c r="F10" i="5"/>
  <c r="F11" i="5" s="1"/>
  <c r="F15" i="5"/>
  <c r="F16" i="5" s="1"/>
  <c r="F20" i="5"/>
  <c r="F21" i="5" s="1"/>
  <c r="F5" i="5"/>
  <c r="F6" i="5" s="1"/>
  <c r="F26" i="5" l="1"/>
</calcChain>
</file>

<file path=xl/sharedStrings.xml><?xml version="1.0" encoding="utf-8"?>
<sst xmlns="http://schemas.openxmlformats.org/spreadsheetml/2006/main" count="1323" uniqueCount="484">
  <si>
    <t>Fake concentration of PFAS detected in biosolids</t>
  </si>
  <si>
    <t>Fake concentration of PFAS in Dairy</t>
  </si>
  <si>
    <t>ng/kg = ng/L = ppt</t>
  </si>
  <si>
    <t>Amount</t>
  </si>
  <si>
    <t>Unit</t>
  </si>
  <si>
    <t>ng/g</t>
  </si>
  <si>
    <t>Fake concentration of PFAS in beef</t>
  </si>
  <si>
    <t>Fake concentration of PFAS in Corn</t>
  </si>
  <si>
    <t>Fake concentration of PFAS in Wheat</t>
  </si>
  <si>
    <t>Garrett W. Link, Donald M. Reeves, Daniel P. Cassidy, Ethan S. Coffin. Per- and polyfluoroalkyl substances (PFAS) in final treated solids (Biosolids) from 190 Michigan wastewater treatment plants. Journal of Hazardous Materials. Volume 463. 2024. https://doi.org/10.1016/j.jhazmat.2023.132734.</t>
  </si>
  <si>
    <t>PFAS Detected In Biosolids from 190 Michigan Wastewater Treatment Plants (by dry weight)</t>
  </si>
  <si>
    <t>DetectionRate (%)</t>
  </si>
  <si>
    <t>Mean</t>
  </si>
  <si>
    <t>SE</t>
  </si>
  <si>
    <t>Max</t>
  </si>
  <si>
    <t>Total</t>
  </si>
  <si>
    <t>ng pfas / g biosolid</t>
  </si>
  <si>
    <t>PFOS</t>
  </si>
  <si>
    <t>PFBA</t>
  </si>
  <si>
    <t>PFHxA</t>
  </si>
  <si>
    <t>PFOA</t>
  </si>
  <si>
    <t>PFHxS</t>
  </si>
  <si>
    <t>PFPeA</t>
  </si>
  <si>
    <t>PFHpA</t>
  </si>
  <si>
    <t>PFNA</t>
  </si>
  <si>
    <t>PFDA</t>
  </si>
  <si>
    <t>PFTrDA</t>
  </si>
  <si>
    <t>PFBS</t>
  </si>
  <si>
    <t>PFPeS</t>
  </si>
  <si>
    <t>PFHpS</t>
  </si>
  <si>
    <t>PFNS</t>
  </si>
  <si>
    <t>PFDS</t>
  </si>
  <si>
    <t>4:2 FTS</t>
  </si>
  <si>
    <t>6:2 FTS</t>
  </si>
  <si>
    <t>8:2 FTS</t>
  </si>
  <si>
    <t>NMeFOSAA</t>
  </si>
  <si>
    <t>NEtFOSAA</t>
  </si>
  <si>
    <t>FOSA</t>
  </si>
  <si>
    <t>PFUnDA</t>
  </si>
  <si>
    <t>PFDoDA</t>
  </si>
  <si>
    <t>PFTeDA</t>
  </si>
  <si>
    <t>U.S. Environmental Protection Agency,
1994. Biosolids Recycling: Beneficial
Technologies for a Better Environment.
EPA 832-R-94-009. Washington, D.C.
U.S. Environmental Protection Agency,
Office of Water.</t>
  </si>
  <si>
    <t>Biosolids Application Schedules</t>
  </si>
  <si>
    <t>Type of Site/Vegetation</t>
  </si>
  <si>
    <t>Schedule</t>
  </si>
  <si>
    <t xml:space="preserve">Application Frequency </t>
  </si>
  <si>
    <t>Application Rate</t>
  </si>
  <si>
    <t>Application Frequency (per year)</t>
  </si>
  <si>
    <t>Application Rate (dry tons/acre)</t>
  </si>
  <si>
    <t>Corn</t>
  </si>
  <si>
    <t xml:space="preserve">April, May, after harvest </t>
  </si>
  <si>
    <t xml:space="preserve">Annually </t>
  </si>
  <si>
    <t>5 to 10 dry tons per acre</t>
  </si>
  <si>
    <t>Small Grains</t>
  </si>
  <si>
    <t xml:space="preserve">March-June, August, fall </t>
  </si>
  <si>
    <t>Up to 3 times per year</t>
  </si>
  <si>
    <t>2 to 5 dry tons per acre</t>
  </si>
  <si>
    <t>Soybean</t>
  </si>
  <si>
    <t xml:space="preserve">April-June, fall </t>
  </si>
  <si>
    <t>5 to 20 dry tons per acre</t>
  </si>
  <si>
    <t>Hay</t>
  </si>
  <si>
    <t>After each cutting</t>
  </si>
  <si>
    <t xml:space="preserve">Up to 3 times per year </t>
  </si>
  <si>
    <t>PFOS Amount (mean) Per Acre/Soil Mass Per Year</t>
  </si>
  <si>
    <t>Crop</t>
  </si>
  <si>
    <t>ng pfas/acre</t>
  </si>
  <si>
    <t>µg pfas/acre</t>
  </si>
  <si>
    <t>µg pfas/kg soil</t>
  </si>
  <si>
    <t>Small grains (like wheat?)</t>
  </si>
  <si>
    <t>Conversions</t>
  </si>
  <si>
    <t>Tons to Grams</t>
  </si>
  <si>
    <t>1 ton = 907184.7 grams</t>
  </si>
  <si>
    <t>acre-foot of soil to tons</t>
  </si>
  <si>
    <t>1 acre-foot = 2000 tons</t>
  </si>
  <si>
    <t>Ton to Kg</t>
  </si>
  <si>
    <t>1 ton = 907.1847 kg</t>
  </si>
  <si>
    <t>From: https://efotg.sc.egov.usda.gov/references/Public/NH/Useful_Conversions.pdf</t>
  </si>
  <si>
    <t>PFAS in Seed of First Generation Soy Plants - Exposure to a PFAS mixture at 100 µg/kg</t>
  </si>
  <si>
    <t>Detection Limit is above RfD</t>
  </si>
  <si>
    <t>** For nd, the DL is used as a substitute value</t>
  </si>
  <si>
    <t>SE +/-</t>
  </si>
  <si>
    <t>Detection Limit</t>
  </si>
  <si>
    <t>DL Unit</t>
  </si>
  <si>
    <t>Bioaccumulation Factor (BAF = Cplant/Cenviron)</t>
  </si>
  <si>
    <t>µg/kg</t>
  </si>
  <si>
    <t>ng/L</t>
  </si>
  <si>
    <t>nd</t>
  </si>
  <si>
    <t>GenX</t>
  </si>
  <si>
    <t>Soy plant Uptake of PFOS Using BAF*Cenviron</t>
  </si>
  <si>
    <t>ug of pfas /kg plant mass</t>
  </si>
  <si>
    <t>ng of pfas /g of plant mass</t>
  </si>
  <si>
    <t>Per Capita</t>
  </si>
  <si>
    <t>Two-Day Average Consumption Commodity Mass (g) per Body Mass (kg) per Day (d) - from WWEIA-FCID 2005-10</t>
  </si>
  <si>
    <t>Percentiles</t>
  </si>
  <si>
    <t>N</t>
  </si>
  <si>
    <t>Percent Consuming</t>
  </si>
  <si>
    <t>Soybean, seed | Soybean, flour | Soybean, flour-babyfood | Soybean, soy milk | Soybean, soy milk-babyfood or infant formula | Soybean, oil | Soybean, oil-babyfood | Soybean, vegetable</t>
  </si>
  <si>
    <t>Age Range</t>
  </si>
  <si>
    <t>Gender</t>
  </si>
  <si>
    <t>Race</t>
  </si>
  <si>
    <t>All ages</t>
  </si>
  <si>
    <t>All</t>
  </si>
  <si>
    <t>&lt;0.05</t>
  </si>
  <si>
    <r>
      <t>108.1</t>
    </r>
    <r>
      <rPr>
        <vertAlign val="superscript"/>
        <sz val="11"/>
        <color theme="1"/>
        <rFont val="等线"/>
        <family val="2"/>
        <scheme val="minor"/>
      </rPr>
      <t>†</t>
    </r>
  </si>
  <si>
    <t>Birth to &lt; 1 month</t>
  </si>
  <si>
    <r>
      <t>0</t>
    </r>
    <r>
      <rPr>
        <vertAlign val="superscript"/>
        <sz val="11"/>
        <color theme="1"/>
        <rFont val="等线"/>
        <family val="2"/>
        <scheme val="minor"/>
      </rPr>
      <t>†</t>
    </r>
  </si>
  <si>
    <r>
      <t>2.1</t>
    </r>
    <r>
      <rPr>
        <vertAlign val="superscript"/>
        <sz val="11"/>
        <color theme="1"/>
        <rFont val="等线"/>
        <family val="2"/>
        <scheme val="minor"/>
      </rPr>
      <t>†</t>
    </r>
  </si>
  <si>
    <r>
      <t>2.3</t>
    </r>
    <r>
      <rPr>
        <vertAlign val="superscript"/>
        <sz val="11"/>
        <color theme="1"/>
        <rFont val="等线"/>
        <family val="2"/>
        <scheme val="minor"/>
      </rPr>
      <t>†</t>
    </r>
  </si>
  <si>
    <r>
      <t>3.2</t>
    </r>
    <r>
      <rPr>
        <vertAlign val="superscript"/>
        <sz val="11"/>
        <color theme="1"/>
        <rFont val="等线"/>
        <family val="2"/>
        <scheme val="minor"/>
      </rPr>
      <t>†</t>
    </r>
  </si>
  <si>
    <r>
      <t>8.1</t>
    </r>
    <r>
      <rPr>
        <vertAlign val="superscript"/>
        <sz val="11"/>
        <color theme="1"/>
        <rFont val="等线"/>
        <family val="2"/>
        <scheme val="minor"/>
      </rPr>
      <t>†</t>
    </r>
  </si>
  <si>
    <t>1 to &lt; 3 months</t>
  </si>
  <si>
    <r>
      <t>4.3</t>
    </r>
    <r>
      <rPr>
        <vertAlign val="superscript"/>
        <sz val="11"/>
        <color theme="1"/>
        <rFont val="等线"/>
        <family val="2"/>
        <scheme val="minor"/>
      </rPr>
      <t>†</t>
    </r>
  </si>
  <si>
    <r>
      <t>5.1</t>
    </r>
    <r>
      <rPr>
        <vertAlign val="superscript"/>
        <sz val="11"/>
        <color theme="1"/>
        <rFont val="等线"/>
        <family val="2"/>
        <scheme val="minor"/>
      </rPr>
      <t>†</t>
    </r>
  </si>
  <si>
    <r>
      <t>9.4</t>
    </r>
    <r>
      <rPr>
        <vertAlign val="superscript"/>
        <sz val="11"/>
        <color theme="1"/>
        <rFont val="等线"/>
        <family val="2"/>
        <scheme val="minor"/>
      </rPr>
      <t>†</t>
    </r>
  </si>
  <si>
    <t>3 to &lt; 6 months</t>
  </si>
  <si>
    <r>
      <t>3.1</t>
    </r>
    <r>
      <rPr>
        <vertAlign val="superscript"/>
        <sz val="11"/>
        <color theme="1"/>
        <rFont val="等线"/>
        <family val="2"/>
        <scheme val="minor"/>
      </rPr>
      <t>†</t>
    </r>
  </si>
  <si>
    <r>
      <t>4.2</t>
    </r>
    <r>
      <rPr>
        <vertAlign val="superscript"/>
        <sz val="11"/>
        <color theme="1"/>
        <rFont val="等线"/>
        <family val="2"/>
        <scheme val="minor"/>
      </rPr>
      <t>†</t>
    </r>
  </si>
  <si>
    <r>
      <t>5.0</t>
    </r>
    <r>
      <rPr>
        <vertAlign val="superscript"/>
        <sz val="11"/>
        <color theme="1"/>
        <rFont val="等线"/>
        <family val="2"/>
        <scheme val="minor"/>
      </rPr>
      <t>†</t>
    </r>
  </si>
  <si>
    <r>
      <t>6.0</t>
    </r>
    <r>
      <rPr>
        <vertAlign val="superscript"/>
        <sz val="11"/>
        <color theme="1"/>
        <rFont val="等线"/>
        <family val="2"/>
        <scheme val="minor"/>
      </rPr>
      <t>†</t>
    </r>
  </si>
  <si>
    <t>6 to &lt; 12 months</t>
  </si>
  <si>
    <r>
      <t>9.1</t>
    </r>
    <r>
      <rPr>
        <vertAlign val="superscript"/>
        <sz val="11"/>
        <color theme="1"/>
        <rFont val="等线"/>
        <family val="2"/>
        <scheme val="minor"/>
      </rPr>
      <t>†</t>
    </r>
  </si>
  <si>
    <r>
      <t>52.6</t>
    </r>
    <r>
      <rPr>
        <vertAlign val="superscript"/>
        <sz val="11"/>
        <color theme="1"/>
        <rFont val="等线"/>
        <family val="2"/>
        <scheme val="minor"/>
      </rPr>
      <t>†</t>
    </r>
  </si>
  <si>
    <t>1 to &lt; 2 years</t>
  </si>
  <si>
    <r>
      <t>0.1</t>
    </r>
    <r>
      <rPr>
        <vertAlign val="superscript"/>
        <sz val="11"/>
        <color theme="1"/>
        <rFont val="等线"/>
        <family val="2"/>
        <scheme val="minor"/>
      </rPr>
      <t>†</t>
    </r>
  </si>
  <si>
    <r>
      <t>12.1</t>
    </r>
    <r>
      <rPr>
        <vertAlign val="superscript"/>
        <sz val="11"/>
        <color theme="1"/>
        <rFont val="等线"/>
        <family val="2"/>
        <scheme val="minor"/>
      </rPr>
      <t>†</t>
    </r>
  </si>
  <si>
    <r>
      <t>74.8</t>
    </r>
    <r>
      <rPr>
        <vertAlign val="superscript"/>
        <sz val="11"/>
        <color theme="1"/>
        <rFont val="等线"/>
        <family val="2"/>
        <scheme val="minor"/>
      </rPr>
      <t>†</t>
    </r>
  </si>
  <si>
    <t>2 to &lt; 3 years</t>
  </si>
  <si>
    <r>
      <t>3.3</t>
    </r>
    <r>
      <rPr>
        <vertAlign val="superscript"/>
        <sz val="11"/>
        <color theme="1"/>
        <rFont val="等线"/>
        <family val="2"/>
        <scheme val="minor"/>
      </rPr>
      <t>†</t>
    </r>
  </si>
  <si>
    <r>
      <t>17.1</t>
    </r>
    <r>
      <rPr>
        <vertAlign val="superscript"/>
        <sz val="11"/>
        <color theme="1"/>
        <rFont val="等线"/>
        <family val="2"/>
        <scheme val="minor"/>
      </rPr>
      <t>†</t>
    </r>
  </si>
  <si>
    <r>
      <t>64.5</t>
    </r>
    <r>
      <rPr>
        <vertAlign val="superscript"/>
        <sz val="11"/>
        <color theme="1"/>
        <rFont val="等线"/>
        <family val="2"/>
        <scheme val="minor"/>
      </rPr>
      <t>†</t>
    </r>
  </si>
  <si>
    <t>3 to &lt; 6 years</t>
  </si>
  <si>
    <r>
      <t>0.2</t>
    </r>
    <r>
      <rPr>
        <vertAlign val="superscript"/>
        <sz val="11"/>
        <color theme="1"/>
        <rFont val="等线"/>
        <family val="2"/>
        <scheme val="minor"/>
      </rPr>
      <t>†</t>
    </r>
  </si>
  <si>
    <r>
      <t>10.2</t>
    </r>
    <r>
      <rPr>
        <vertAlign val="superscript"/>
        <sz val="11"/>
        <color theme="1"/>
        <rFont val="等线"/>
        <family val="2"/>
        <scheme val="minor"/>
      </rPr>
      <t>†</t>
    </r>
  </si>
  <si>
    <r>
      <t>59.3</t>
    </r>
    <r>
      <rPr>
        <vertAlign val="superscript"/>
        <sz val="11"/>
        <color theme="1"/>
        <rFont val="等线"/>
        <family val="2"/>
        <scheme val="minor"/>
      </rPr>
      <t>†</t>
    </r>
  </si>
  <si>
    <t>6 to &lt; 11 years</t>
  </si>
  <si>
    <r>
      <t>34.2</t>
    </r>
    <r>
      <rPr>
        <vertAlign val="superscript"/>
        <sz val="11"/>
        <color theme="1"/>
        <rFont val="等线"/>
        <family val="2"/>
        <scheme val="minor"/>
      </rPr>
      <t>†</t>
    </r>
  </si>
  <si>
    <t>11 to &lt; 16 years</t>
  </si>
  <si>
    <r>
      <t>16.5</t>
    </r>
    <r>
      <rPr>
        <vertAlign val="superscript"/>
        <sz val="11"/>
        <color theme="1"/>
        <rFont val="等线"/>
        <family val="2"/>
        <scheme val="minor"/>
      </rPr>
      <t>†</t>
    </r>
  </si>
  <si>
    <t>16 to &lt; 21 years</t>
  </si>
  <si>
    <r>
      <t>12.5</t>
    </r>
    <r>
      <rPr>
        <vertAlign val="superscript"/>
        <sz val="11"/>
        <color theme="1"/>
        <rFont val="等线"/>
        <family val="2"/>
        <scheme val="minor"/>
      </rPr>
      <t>†</t>
    </r>
  </si>
  <si>
    <t>21 to &lt; 30 years</t>
  </si>
  <si>
    <t>30 to &lt; 40 years</t>
  </si>
  <si>
    <r>
      <t>9.9</t>
    </r>
    <r>
      <rPr>
        <vertAlign val="superscript"/>
        <sz val="11"/>
        <color theme="1"/>
        <rFont val="等线"/>
        <family val="2"/>
        <scheme val="minor"/>
      </rPr>
      <t>†</t>
    </r>
  </si>
  <si>
    <t>40 to &lt; 50 years</t>
  </si>
  <si>
    <r>
      <t>13.2</t>
    </r>
    <r>
      <rPr>
        <vertAlign val="superscript"/>
        <sz val="11"/>
        <color theme="1"/>
        <rFont val="等线"/>
        <family val="2"/>
        <scheme val="minor"/>
      </rPr>
      <t>†</t>
    </r>
  </si>
  <si>
    <t>50 to &lt; 60 years</t>
  </si>
  <si>
    <r>
      <t>10.1</t>
    </r>
    <r>
      <rPr>
        <vertAlign val="superscript"/>
        <sz val="11"/>
        <color theme="1"/>
        <rFont val="等线"/>
        <family val="2"/>
        <scheme val="minor"/>
      </rPr>
      <t>†</t>
    </r>
  </si>
  <si>
    <t>60 to &lt; 70 years</t>
  </si>
  <si>
    <r>
      <t>24.5</t>
    </r>
    <r>
      <rPr>
        <vertAlign val="superscript"/>
        <sz val="11"/>
        <color theme="1"/>
        <rFont val="等线"/>
        <family val="2"/>
        <scheme val="minor"/>
      </rPr>
      <t>†</t>
    </r>
  </si>
  <si>
    <t>70 to &lt; 80 years</t>
  </si>
  <si>
    <r>
      <t>&lt;0.05</t>
    </r>
    <r>
      <rPr>
        <vertAlign val="superscript"/>
        <sz val="11"/>
        <color theme="1"/>
        <rFont val="等线"/>
        <family val="2"/>
        <scheme val="minor"/>
      </rPr>
      <t>†</t>
    </r>
  </si>
  <si>
    <r>
      <t>14.9</t>
    </r>
    <r>
      <rPr>
        <vertAlign val="superscript"/>
        <sz val="11"/>
        <color theme="1"/>
        <rFont val="等线"/>
        <family val="2"/>
        <scheme val="minor"/>
      </rPr>
      <t>†</t>
    </r>
  </si>
  <si>
    <t>80 years and older</t>
  </si>
  <si>
    <r>
      <t>10.9</t>
    </r>
    <r>
      <rPr>
        <vertAlign val="superscript"/>
        <sz val="11"/>
        <color theme="1"/>
        <rFont val="等线"/>
        <family val="2"/>
        <scheme val="minor"/>
      </rPr>
      <t>†</t>
    </r>
  </si>
  <si>
    <t>13 to &lt; 50 years</t>
  </si>
  <si>
    <t>Female</t>
  </si>
  <si>
    <r>
      <t>15.7</t>
    </r>
    <r>
      <rPr>
        <vertAlign val="superscript"/>
        <sz val="11"/>
        <color theme="1"/>
        <rFont val="等线"/>
        <family val="2"/>
        <scheme val="minor"/>
      </rPr>
      <t>†</t>
    </r>
  </si>
  <si>
    <t>Mexican American</t>
  </si>
  <si>
    <r>
      <t>81.7</t>
    </r>
    <r>
      <rPr>
        <vertAlign val="superscript"/>
        <sz val="11"/>
        <color theme="1"/>
        <rFont val="等线"/>
        <family val="2"/>
        <scheme val="minor"/>
      </rPr>
      <t>†</t>
    </r>
  </si>
  <si>
    <t>Non-Hispanic Black</t>
  </si>
  <si>
    <t>Non-Hispanic White</t>
  </si>
  <si>
    <t>Other Hispanic</t>
  </si>
  <si>
    <r>
      <t>31.3</t>
    </r>
    <r>
      <rPr>
        <vertAlign val="superscript"/>
        <sz val="11"/>
        <color theme="1"/>
        <rFont val="等线"/>
        <family val="2"/>
        <scheme val="minor"/>
      </rPr>
      <t>†</t>
    </r>
  </si>
  <si>
    <t>Other Race - Including Multiple</t>
  </si>
  <si>
    <r>
      <t>5.2</t>
    </r>
    <r>
      <rPr>
        <vertAlign val="superscript"/>
        <sz val="11"/>
        <color theme="1"/>
        <rFont val="等线"/>
        <family val="2"/>
        <scheme val="minor"/>
      </rPr>
      <t>†</t>
    </r>
  </si>
  <si>
    <r>
      <t>98.6</t>
    </r>
    <r>
      <rPr>
        <vertAlign val="superscript"/>
        <sz val="11"/>
        <color theme="1"/>
        <rFont val="等线"/>
        <family val="2"/>
        <scheme val="minor"/>
      </rPr>
      <t>†</t>
    </r>
  </si>
  <si>
    <t xml:space="preserve">Notes: '†' indicates estimates are less statistically reliable based on np &lt; 8 * 'Design Effect' guidance published in the Joint Policy on Variance Estimation and Statistical Reporting Standards on NHANES III and CSFII </t>
  </si>
  <si>
    <t>The “Two-day average” results are based on the average of the two days of food consumption reported in the NHANES/WWEIA survey for those "both day" respondents. If the respondent reports zero consumption on one of the two days and non-zero consumption on the other day, his/her average consumption would be the average of zero and nonzero consumption.</t>
  </si>
  <si>
    <t>Refence Doses (EPA - IRIS)</t>
  </si>
  <si>
    <t>Source</t>
  </si>
  <si>
    <t>Webiste</t>
  </si>
  <si>
    <t>mg/kg/day</t>
  </si>
  <si>
    <t>EPA</t>
  </si>
  <si>
    <t>https://www.epa.gov/sites/default/files/2016-05/documents/hesd_pfos_final-plain.pdf</t>
  </si>
  <si>
    <t>ng/kg/day</t>
  </si>
  <si>
    <t>IRIS</t>
  </si>
  <si>
    <t>https://iris.epa.gov/ChemicalLanding/&amp;substance_nmbr=701</t>
  </si>
  <si>
    <t>https://iris.epa.gov/ChemicalLanding/&amp;substance_nmbr=704</t>
  </si>
  <si>
    <t>https://www.epa.gov/sites/default/files/2016-05/documents/pfoa_hesd_final-plain.pdf</t>
  </si>
  <si>
    <t>PFUnA</t>
  </si>
  <si>
    <t>PFDoA</t>
  </si>
  <si>
    <t>PFTA</t>
  </si>
  <si>
    <t>11ClPF3OUdS</t>
  </si>
  <si>
    <t>ADONA</t>
  </si>
  <si>
    <t>9Cl-PF3ONS</t>
  </si>
  <si>
    <t>HFPO-DA</t>
  </si>
  <si>
    <t>NFDHA</t>
  </si>
  <si>
    <t>PFEESA</t>
  </si>
  <si>
    <t>PFMPA</t>
  </si>
  <si>
    <t>PFMBA</t>
  </si>
  <si>
    <t>PFOSA</t>
  </si>
  <si>
    <t>Variable Name</t>
  </si>
  <si>
    <t>Var Abbrv</t>
  </si>
  <si>
    <t>Average Daily Intake</t>
  </si>
  <si>
    <t>ADI</t>
  </si>
  <si>
    <t>Reference Dose</t>
  </si>
  <si>
    <t>RfD</t>
  </si>
  <si>
    <t>Beef:</t>
  </si>
  <si>
    <t>Hazard Ratio</t>
  </si>
  <si>
    <t>HR</t>
  </si>
  <si>
    <t>ADI=</t>
  </si>
  <si>
    <t>ng/kg-day</t>
  </si>
  <si>
    <t>Pollutant Concentration</t>
  </si>
  <si>
    <t>PoC</t>
  </si>
  <si>
    <t>HR=</t>
  </si>
  <si>
    <t>-</t>
  </si>
  <si>
    <t>Food Consumption</t>
  </si>
  <si>
    <t>FC</t>
  </si>
  <si>
    <t>Equations</t>
  </si>
  <si>
    <t>Dairy:</t>
  </si>
  <si>
    <t>PoC * FC</t>
  </si>
  <si>
    <t>ADI/RfD</t>
  </si>
  <si>
    <t>Corn:</t>
  </si>
  <si>
    <t>Wheat:</t>
  </si>
  <si>
    <t>Soy:</t>
  </si>
  <si>
    <t>ng pfos /kg body mass/day</t>
  </si>
  <si>
    <t xml:space="preserve">Bei Wen, Yali Wu, Hongna Zhang, Yu Liu, Xiaoyu Hu, Honglin Huang, Shuzhen Zhang. The roles of protein and lipid in the accumulation and distribution of perfluorooctane sulfonate (PFOS) and perfluorooctanoate (PFOA) in plants grown in biosolids-amended soils. Environmental Pollution. Volume 216. 2016. Pages 682-688. https://doi.org/10.1016/j.envpol.2016.06.032.
</t>
  </si>
  <si>
    <t>PFAS in Biosolid Amended Soil (20 tons/hectare/year)</t>
  </si>
  <si>
    <t>PFOS (soil: 154.4 ± 18.6 ng/g)</t>
  </si>
  <si>
    <r>
      <t>C</t>
    </r>
    <r>
      <rPr>
        <b/>
        <vertAlign val="subscript"/>
        <sz val="11"/>
        <color theme="1"/>
        <rFont val="等线"/>
        <family val="2"/>
        <scheme val="minor"/>
      </rPr>
      <t>root</t>
    </r>
  </si>
  <si>
    <r>
      <t>C</t>
    </r>
    <r>
      <rPr>
        <b/>
        <vertAlign val="subscript"/>
        <sz val="11"/>
        <color theme="1"/>
        <rFont val="等线"/>
        <family val="2"/>
        <scheme val="minor"/>
      </rPr>
      <t>shoots</t>
    </r>
  </si>
  <si>
    <t>Alfalfa</t>
  </si>
  <si>
    <t>Lettuce</t>
  </si>
  <si>
    <t>Maize</t>
  </si>
  <si>
    <t>Mung bean</t>
  </si>
  <si>
    <t>Radish</t>
  </si>
  <si>
    <t>Ryegrass</t>
  </si>
  <si>
    <t>PFOA (soil: 416.8 ± 29.5 ng/g)</t>
  </si>
  <si>
    <t>Rossella Ghisi, Teofilo Vamerali, Sergio Manzetti. Accumulation of perfluorinated alkyl substances (PFAS) in agricultural plants: A review. Environmental Research. Volume 169. 2019. Pages 326-341, https://doi.org/10.1016/j.envres.2018.10.023.
(https://www.sciencedirect.com/science/article/pii/S0013935118305577)</t>
  </si>
  <si>
    <t>Table 2. Initial PFAS concentrations (mg/kg soil) and their accumulation in different crop plant parts (μg/kg d.w.).</t>
  </si>
  <si>
    <t>Plant</t>
  </si>
  <si>
    <t>Compounds</t>
  </si>
  <si>
    <t>Treatment and initial soil concentrations (mg/kg soil)</t>
  </si>
  <si>
    <t>Concentrations in plants (μg/kg d.w.)</t>
  </si>
  <si>
    <t>References</t>
  </si>
  <si>
    <t>Maize straw</t>
  </si>
  <si>
    <t>PFOA, PFOS</t>
  </si>
  <si>
    <t>Spiked soil. 0–50 for each compound</t>
  </si>
  <si>
    <t>At 1 mg/kg:</t>
  </si>
  <si>
    <t>Stahl et al. (2009)</t>
  </si>
  <si>
    <t>PFOA: 126</t>
  </si>
  <si>
    <t>PFOS: 104</t>
  </si>
  <si>
    <t>PFAA mixture, ten compounds</t>
  </si>
  <si>
    <t>Spiked soil. 0.25 and 1 for each substance</t>
  </si>
  <si>
    <t>Krippner et al. (2015)</t>
  </si>
  <si>
    <t>PFBA: 35233</t>
  </si>
  <si>
    <t>PFBS: 1843</t>
  </si>
  <si>
    <t>PFOA: 645</t>
  </si>
  <si>
    <t>PFOS: 617</t>
  </si>
  <si>
    <t>ƩPFASs = 52200</t>
  </si>
  <si>
    <t>Maize stover</t>
  </si>
  <si>
    <t>PFAA mixture</t>
  </si>
  <si>
    <t>Soil + urban 2x biosolids.</t>
  </si>
  <si>
    <t>PFBA: 4.21</t>
  </si>
  <si>
    <t>Blaine et al. (2013)</t>
  </si>
  <si>
    <t>PFBS: &lt;LOQ</t>
  </si>
  <si>
    <t>0.00716, as Ʃ.</t>
  </si>
  <si>
    <t>PFOA: &lt;LOQ</t>
  </si>
  <si>
    <t>PFBA: 0.00010</t>
  </si>
  <si>
    <t>PFOS: &lt;LOQ</t>
  </si>
  <si>
    <t>PFBS: 0.00039</t>
  </si>
  <si>
    <t>ƩPFASs = 4.49</t>
  </si>
  <si>
    <t>PFOA: 0.00128</t>
  </si>
  <si>
    <t>PFOS: 0.00282</t>
  </si>
  <si>
    <t>Maize leaves</t>
  </si>
  <si>
    <t>Spiked soil. 38.5</t>
  </si>
  <si>
    <t>PFOS: 23100</t>
  </si>
  <si>
    <t>Navarro et al. (2017)</t>
  </si>
  <si>
    <t>PFBS: 120</t>
  </si>
  <si>
    <t>PFBS as by-product: 0.020</t>
  </si>
  <si>
    <t>Maize ears</t>
  </si>
  <si>
    <t>At 1 mg/kg soil:</t>
  </si>
  <si>
    <t>PFOA: 4</t>
  </si>
  <si>
    <t>PFOS: 3</t>
  </si>
  <si>
    <t>Maize kernels</t>
  </si>
  <si>
    <t>PFBA: 229</t>
  </si>
  <si>
    <t>PFBS: 5.44</t>
  </si>
  <si>
    <t>PFOA: 2.45</t>
  </si>
  <si>
    <t>ƩPFASs = 860</t>
  </si>
  <si>
    <t>Maize roots</t>
  </si>
  <si>
    <t>Table 3. Crop plant part analyzed, initial PFAS concentrations (mg/kg soil), soil organic matter (SOM) or organic carbon (OC) contents and bioconcentration factors (concentration in plant parts/initial concentration in soil).</t>
  </si>
  <si>
    <t>Plant species and parts</t>
  </si>
  <si>
    <t>Compounds and initial concentrations (mg/kg)</t>
  </si>
  <si>
    <t>PFBA, PFBS bioconcentration factors</t>
  </si>
  <si>
    <t>PFOA, PFOS bioconcentration factors</t>
  </si>
  <si>
    <t>SOM or OC contents</t>
  </si>
  <si>
    <t>PFOA: 0–50</t>
  </si>
  <si>
    <t>–</t>
  </si>
  <si>
    <t>Values at 0.25 and 1 mg/Kg:</t>
  </si>
  <si>
    <t>na</t>
  </si>
  <si>
    <t>PFOA: 0.272; 0.126</t>
  </si>
  <si>
    <t>PFOS: 0–50</t>
  </si>
  <si>
    <t>PFOS: 0.132; 0.104</t>
  </si>
  <si>
    <t>PFAA mixture: 0.25 and 1 per each of 10 compounds</t>
  </si>
  <si>
    <t>OC: 0.274%</t>
  </si>
  <si>
    <t>PFBA: 63.64; 35.23</t>
  </si>
  <si>
    <r>
      <t>PFOA: 0.56</t>
    </r>
    <r>
      <rPr>
        <vertAlign val="superscript"/>
        <sz val="11"/>
        <color theme="1"/>
        <rFont val="等线"/>
        <family val="2"/>
        <scheme val="minor"/>
      </rPr>
      <t>a</t>
    </r>
    <r>
      <rPr>
        <sz val="11"/>
        <color theme="1"/>
        <rFont val="等线"/>
        <family val="2"/>
        <scheme val="minor"/>
      </rPr>
      <t>; 0.65</t>
    </r>
    <r>
      <rPr>
        <vertAlign val="superscript"/>
        <sz val="11"/>
        <color theme="1"/>
        <rFont val="等线"/>
        <family val="2"/>
        <scheme val="minor"/>
      </rPr>
      <t>a</t>
    </r>
  </si>
  <si>
    <r>
      <t>PFBS: 3.85</t>
    </r>
    <r>
      <rPr>
        <vertAlign val="superscript"/>
        <sz val="11"/>
        <color theme="1"/>
        <rFont val="等线"/>
        <family val="2"/>
        <scheme val="minor"/>
      </rPr>
      <t>a</t>
    </r>
    <r>
      <rPr>
        <sz val="11"/>
        <color theme="1"/>
        <rFont val="等线"/>
        <family val="2"/>
        <scheme val="minor"/>
      </rPr>
      <t>; 1.84</t>
    </r>
    <r>
      <rPr>
        <vertAlign val="superscript"/>
        <sz val="11"/>
        <color theme="1"/>
        <rFont val="等线"/>
        <family val="2"/>
        <scheme val="minor"/>
      </rPr>
      <t>a</t>
    </r>
  </si>
  <si>
    <t>PFOS: 0.32; 0.62</t>
  </si>
  <si>
    <t>Full-scale field study,</t>
  </si>
  <si>
    <t>PFBA: 64.8</t>
  </si>
  <si>
    <t>PFOA: –</t>
  </si>
  <si>
    <t>OC: 0.57%</t>
  </si>
  <si>
    <t>PFAA mixture from urban 2x biosolid addition. PFBA: 0.00010</t>
  </si>
  <si>
    <t>PFBS: –</t>
  </si>
  <si>
    <t>PFOS: –</t>
  </si>
  <si>
    <t>PFOS: 38.5</t>
  </si>
  <si>
    <t>PFBS: 4.00b</t>
  </si>
  <si>
    <t>PFOS: 0.80b</t>
  </si>
  <si>
    <t>PFBS: 0.02</t>
  </si>
  <si>
    <t>–; –</t>
  </si>
  <si>
    <t>PFOA: 0.008; 0.004</t>
  </si>
  <si>
    <t>PFOS: 0; 0.003</t>
  </si>
  <si>
    <t>Maize grains</t>
  </si>
  <si>
    <r>
      <t>PFBA: 0.133</t>
    </r>
    <r>
      <rPr>
        <vertAlign val="superscript"/>
        <sz val="11"/>
        <color theme="1"/>
        <rFont val="等线"/>
        <family val="2"/>
        <scheme val="minor"/>
      </rPr>
      <t>a</t>
    </r>
    <r>
      <rPr>
        <sz val="11"/>
        <color theme="1"/>
        <rFont val="等线"/>
        <family val="2"/>
        <scheme val="minor"/>
      </rPr>
      <t>; 0.229</t>
    </r>
    <r>
      <rPr>
        <vertAlign val="superscript"/>
        <sz val="11"/>
        <color theme="1"/>
        <rFont val="等线"/>
        <family val="2"/>
        <scheme val="minor"/>
      </rPr>
      <t>a</t>
    </r>
  </si>
  <si>
    <t>PFOA: –; 0.002</t>
  </si>
  <si>
    <r>
      <t>PFBS: 0.008</t>
    </r>
    <r>
      <rPr>
        <vertAlign val="superscript"/>
        <sz val="11"/>
        <color theme="1"/>
        <rFont val="等线"/>
        <family val="2"/>
        <scheme val="minor"/>
      </rPr>
      <t>a</t>
    </r>
    <r>
      <rPr>
        <sz val="11"/>
        <color theme="1"/>
        <rFont val="等线"/>
        <family val="2"/>
        <scheme val="minor"/>
      </rPr>
      <t>; 0.005</t>
    </r>
    <r>
      <rPr>
        <vertAlign val="superscript"/>
        <sz val="11"/>
        <color theme="1"/>
        <rFont val="等线"/>
        <family val="2"/>
        <scheme val="minor"/>
      </rPr>
      <t>a</t>
    </r>
  </si>
  <si>
    <t>PFOS: –; –</t>
  </si>
  <si>
    <t>Maize root</t>
  </si>
  <si>
    <t>PFBS: 5.00b</t>
  </si>
  <si>
    <t>PFOS: 8.82b</t>
  </si>
  <si>
    <t>Wheat straw</t>
  </si>
  <si>
    <t>PFOA: 1900</t>
  </si>
  <si>
    <t>PFOS: 270</t>
  </si>
  <si>
    <t>Soil + biosolids at different rates: 0.0414–0.220, as ƩPFASs.</t>
  </si>
  <si>
    <t>At 0.220 mg/kg as total amount:</t>
  </si>
  <si>
    <t>Wen et al. (2014)</t>
  </si>
  <si>
    <t>PFBA: 22.2</t>
  </si>
  <si>
    <t>At the highest rate:</t>
  </si>
  <si>
    <t>PFBS: 21.8</t>
  </si>
  <si>
    <t>PFBA: 0.0135</t>
  </si>
  <si>
    <t>PFOA: 22.1</t>
  </si>
  <si>
    <t>PFBS: 0.0312</t>
  </si>
  <si>
    <t>PFOS: 11.0</t>
  </si>
  <si>
    <t>PFOA: 0.0261</t>
  </si>
  <si>
    <t>ƩPFASs = 178</t>
  </si>
  <si>
    <t>PFOS: 0.0408</t>
  </si>
  <si>
    <t>Wheat grains</t>
  </si>
  <si>
    <t>PFOA: 9</t>
  </si>
  <si>
    <t>PFOS: 0</t>
  </si>
  <si>
    <t>PFBA: 6.49</t>
  </si>
  <si>
    <t>PFBS: &lt;MDL</t>
  </si>
  <si>
    <t>PFOA: 2.90</t>
  </si>
  <si>
    <t>PFOS: 2.53</t>
  </si>
  <si>
    <t>ƩPFASs = 35.6</t>
  </si>
  <si>
    <t>Wheat husks</t>
  </si>
  <si>
    <t>PFBA: 5.77</t>
  </si>
  <si>
    <t>PFOA: 4.19</t>
  </si>
  <si>
    <t>PFOS: 2.20</t>
  </si>
  <si>
    <t>ƩPFASs = 37.8</t>
  </si>
  <si>
    <t>PFOA: 3.20; 1.90</t>
  </si>
  <si>
    <t>PFOS: 0.20; 0.27</t>
  </si>
  <si>
    <t>PFAA mixture from the highest biosolid addition:</t>
  </si>
  <si>
    <t>PFBA: 1.64</t>
  </si>
  <si>
    <t>PFOA: 0.847</t>
  </si>
  <si>
    <t>SOM: 2.76%</t>
  </si>
  <si>
    <t>PFBS: 0.635</t>
  </si>
  <si>
    <t>PFOS: 0.270</t>
  </si>
  <si>
    <t>--</t>
  </si>
  <si>
    <t>PFOA: 0.096; 0.009</t>
  </si>
  <si>
    <t>PFBA: 0.48</t>
  </si>
  <si>
    <t>PFOA: 0.111</t>
  </si>
  <si>
    <t>PFOS: 0.062</t>
  </si>
  <si>
    <t>Wheat husk</t>
  </si>
  <si>
    <t>PFBA: 0.43</t>
  </si>
  <si>
    <t>PFOA: 0.160</t>
  </si>
  <si>
    <t>PFOS: 0.054</t>
  </si>
  <si>
    <t>From EPA Exposure handbook</t>
  </si>
  <si>
    <t>Per Capita 2-Day Average Intake of Total Dairy Products Based on 1994−1996, 1998 CSFII (g/kg-day, edible portion, uncooked weight)</t>
  </si>
  <si>
    <t>PC</t>
  </si>
  <si>
    <t>1st</t>
  </si>
  <si>
    <t>5th</t>
  </si>
  <si>
    <t>10th</t>
  </si>
  <si>
    <t>25th</t>
  </si>
  <si>
    <t>50th</t>
  </si>
  <si>
    <t>75th</t>
  </si>
  <si>
    <t>90th</t>
  </si>
  <si>
    <t>95th</t>
  </si>
  <si>
    <t>99th</t>
  </si>
  <si>
    <t>Whole population</t>
  </si>
  <si>
    <t xml:space="preserve">Birth to 1 year </t>
  </si>
  <si>
    <t>1 to 2 years</t>
  </si>
  <si>
    <t>3 to 5 years</t>
  </si>
  <si>
    <t>6 to 12 years</t>
  </si>
  <si>
    <t>13 to 19 years</t>
  </si>
  <si>
    <t>20 to 49 years</t>
  </si>
  <si>
    <t>50+ years</t>
  </si>
  <si>
    <t>American Indian, Alaska, Native</t>
  </si>
  <si>
    <t>Asian, Pacific Islander</t>
  </si>
  <si>
    <t>Black</t>
  </si>
  <si>
    <t>Other</t>
  </si>
  <si>
    <t>White</t>
  </si>
  <si>
    <t>Two-Day Average Consumption Commodity Mass (g) per Body Mass (kg) per Day (d)  - from WWEIA-FCID 2005-10</t>
  </si>
  <si>
    <t>Beef, meat | Beef, meat-babyfood | Beef, meat, dried | Beef, meat byproducts | Beef, meat byproducts-babyfood | Beef, fat | Beef, fat-babyfood | Beef, kidney | Beef, liver | Beef, liver-babyfood</t>
  </si>
  <si>
    <r>
      <t>20.0</t>
    </r>
    <r>
      <rPr>
        <vertAlign val="superscript"/>
        <sz val="11"/>
        <color theme="1"/>
        <rFont val="等线"/>
        <family val="2"/>
        <scheme val="minor"/>
      </rPr>
      <t>†</t>
    </r>
  </si>
  <si>
    <t>&lt;0.5</t>
  </si>
  <si>
    <t>&lt;0.005</t>
  </si>
  <si>
    <r>
      <t>1.0</t>
    </r>
    <r>
      <rPr>
        <vertAlign val="superscript"/>
        <sz val="11"/>
        <color theme="1"/>
        <rFont val="等线"/>
        <family val="2"/>
        <scheme val="minor"/>
      </rPr>
      <t>†</t>
    </r>
  </si>
  <si>
    <r>
      <t>1.9</t>
    </r>
    <r>
      <rPr>
        <vertAlign val="superscript"/>
        <sz val="11"/>
        <color theme="1"/>
        <rFont val="等线"/>
        <family val="2"/>
        <scheme val="minor"/>
      </rPr>
      <t>†</t>
    </r>
  </si>
  <si>
    <r>
      <t>6.6</t>
    </r>
    <r>
      <rPr>
        <vertAlign val="superscript"/>
        <sz val="11"/>
        <color theme="1"/>
        <rFont val="等线"/>
        <family val="2"/>
        <scheme val="minor"/>
      </rPr>
      <t>†</t>
    </r>
  </si>
  <si>
    <r>
      <t>12.7</t>
    </r>
    <r>
      <rPr>
        <vertAlign val="superscript"/>
        <sz val="11"/>
        <color theme="1"/>
        <rFont val="等线"/>
        <family val="2"/>
        <scheme val="minor"/>
      </rPr>
      <t>†</t>
    </r>
  </si>
  <si>
    <r>
      <t>7.2</t>
    </r>
    <r>
      <rPr>
        <vertAlign val="superscript"/>
        <sz val="11"/>
        <color theme="1"/>
        <rFont val="等线"/>
        <family val="2"/>
        <scheme val="minor"/>
      </rPr>
      <t>†</t>
    </r>
  </si>
  <si>
    <r>
      <t>7.7</t>
    </r>
    <r>
      <rPr>
        <vertAlign val="superscript"/>
        <sz val="11"/>
        <color theme="1"/>
        <rFont val="等线"/>
        <family val="2"/>
        <scheme val="minor"/>
      </rPr>
      <t>†</t>
    </r>
  </si>
  <si>
    <r>
      <t>10.5</t>
    </r>
    <r>
      <rPr>
        <vertAlign val="superscript"/>
        <sz val="11"/>
        <color theme="1"/>
        <rFont val="等线"/>
        <family val="2"/>
        <scheme val="minor"/>
      </rPr>
      <t>†</t>
    </r>
  </si>
  <si>
    <r>
      <t>9.2</t>
    </r>
    <r>
      <rPr>
        <vertAlign val="superscript"/>
        <sz val="11"/>
        <color theme="1"/>
        <rFont val="等线"/>
        <family val="2"/>
        <scheme val="minor"/>
      </rPr>
      <t>†</t>
    </r>
  </si>
  <si>
    <r>
      <t>13.7</t>
    </r>
    <r>
      <rPr>
        <vertAlign val="superscript"/>
        <sz val="11"/>
        <color theme="1"/>
        <rFont val="等线"/>
        <family val="2"/>
        <scheme val="minor"/>
      </rPr>
      <t>†</t>
    </r>
  </si>
  <si>
    <r>
      <t>11.9</t>
    </r>
    <r>
      <rPr>
        <vertAlign val="superscript"/>
        <sz val="11"/>
        <color theme="1"/>
        <rFont val="等线"/>
        <family val="2"/>
        <scheme val="minor"/>
      </rPr>
      <t>†</t>
    </r>
  </si>
  <si>
    <r>
      <t>13.0</t>
    </r>
    <r>
      <rPr>
        <vertAlign val="superscript"/>
        <sz val="11"/>
        <color theme="1"/>
        <rFont val="等线"/>
        <family val="2"/>
        <scheme val="minor"/>
      </rPr>
      <t>†</t>
    </r>
  </si>
  <si>
    <r>
      <t>10.7</t>
    </r>
    <r>
      <rPr>
        <vertAlign val="superscript"/>
        <sz val="11"/>
        <color theme="1"/>
        <rFont val="等线"/>
        <family val="2"/>
        <scheme val="minor"/>
      </rPr>
      <t>†</t>
    </r>
  </si>
  <si>
    <r>
      <t>10.4</t>
    </r>
    <r>
      <rPr>
        <vertAlign val="superscript"/>
        <sz val="11"/>
        <color theme="1"/>
        <rFont val="等线"/>
        <family val="2"/>
        <scheme val="minor"/>
      </rPr>
      <t>†</t>
    </r>
  </si>
  <si>
    <r>
      <t>8.7</t>
    </r>
    <r>
      <rPr>
        <vertAlign val="superscript"/>
        <sz val="11"/>
        <color theme="1"/>
        <rFont val="等线"/>
        <family val="2"/>
        <scheme val="minor"/>
      </rPr>
      <t>†</t>
    </r>
  </si>
  <si>
    <r>
      <t>4.5</t>
    </r>
    <r>
      <rPr>
        <vertAlign val="superscript"/>
        <sz val="11"/>
        <color theme="1"/>
        <rFont val="等线"/>
        <family val="2"/>
        <scheme val="minor"/>
      </rPr>
      <t>†</t>
    </r>
  </si>
  <si>
    <r>
      <t>12.0</t>
    </r>
    <r>
      <rPr>
        <vertAlign val="superscript"/>
        <sz val="11"/>
        <color theme="1"/>
        <rFont val="等线"/>
        <family val="2"/>
        <scheme val="minor"/>
      </rPr>
      <t>†</t>
    </r>
  </si>
  <si>
    <r>
      <t>2.8</t>
    </r>
    <r>
      <rPr>
        <vertAlign val="superscript"/>
        <sz val="11"/>
        <color theme="1"/>
        <rFont val="等线"/>
        <family val="2"/>
        <scheme val="minor"/>
      </rPr>
      <t>†</t>
    </r>
  </si>
  <si>
    <r>
      <t>2.5</t>
    </r>
    <r>
      <rPr>
        <vertAlign val="superscript"/>
        <sz val="11"/>
        <color theme="1"/>
        <rFont val="等线"/>
        <family val="2"/>
        <scheme val="minor"/>
      </rPr>
      <t>†</t>
    </r>
  </si>
  <si>
    <r>
      <t>8.8</t>
    </r>
    <r>
      <rPr>
        <vertAlign val="superscript"/>
        <sz val="11"/>
        <color theme="1"/>
        <rFont val="等线"/>
        <family val="2"/>
        <scheme val="minor"/>
      </rPr>
      <t>†</t>
    </r>
  </si>
  <si>
    <r>
      <t>10.0</t>
    </r>
    <r>
      <rPr>
        <vertAlign val="superscript"/>
        <sz val="11"/>
        <color theme="1"/>
        <rFont val="等线"/>
        <family val="2"/>
        <scheme val="minor"/>
      </rPr>
      <t>†</t>
    </r>
  </si>
  <si>
    <t>Corn, field, flour | Corn, field, flour-babyfood | Corn, field, meal | Corn, field, meal-babyfood | Corn, field, bran | Corn, field, starch | Corn, field, starch-babyfood | Corn, field, syrup | Corn, field, syrup-babyfood | Corn, field, oil | Corn, field, oil-babyfood | Corn, pop | Corn, sweet | Corn, sweet-babyfood</t>
  </si>
  <si>
    <r>
      <t>27.9</t>
    </r>
    <r>
      <rPr>
        <vertAlign val="superscript"/>
        <sz val="11"/>
        <color theme="1"/>
        <rFont val="等线"/>
        <family val="2"/>
        <scheme val="minor"/>
      </rPr>
      <t>†</t>
    </r>
  </si>
  <si>
    <r>
      <t>8.2</t>
    </r>
    <r>
      <rPr>
        <vertAlign val="superscript"/>
        <sz val="11"/>
        <color theme="1"/>
        <rFont val="等线"/>
        <family val="2"/>
        <scheme val="minor"/>
      </rPr>
      <t>†</t>
    </r>
  </si>
  <si>
    <r>
      <t>11.3</t>
    </r>
    <r>
      <rPr>
        <vertAlign val="superscript"/>
        <sz val="11"/>
        <color theme="1"/>
        <rFont val="等线"/>
        <family val="2"/>
        <scheme val="minor"/>
      </rPr>
      <t>†</t>
    </r>
  </si>
  <si>
    <r>
      <t>14.0</t>
    </r>
    <r>
      <rPr>
        <vertAlign val="superscript"/>
        <sz val="11"/>
        <color theme="1"/>
        <rFont val="等线"/>
        <family val="2"/>
        <scheme val="minor"/>
      </rPr>
      <t>†</t>
    </r>
  </si>
  <si>
    <r>
      <t>15.0</t>
    </r>
    <r>
      <rPr>
        <vertAlign val="superscript"/>
        <sz val="11"/>
        <color theme="1"/>
        <rFont val="等线"/>
        <family val="2"/>
        <scheme val="minor"/>
      </rPr>
      <t>†</t>
    </r>
  </si>
  <si>
    <r>
      <t>17.5</t>
    </r>
    <r>
      <rPr>
        <vertAlign val="superscript"/>
        <sz val="11"/>
        <color theme="1"/>
        <rFont val="等线"/>
        <family val="2"/>
        <scheme val="minor"/>
      </rPr>
      <t>†</t>
    </r>
  </si>
  <si>
    <r>
      <t>15.6</t>
    </r>
    <r>
      <rPr>
        <vertAlign val="superscript"/>
        <sz val="11"/>
        <color theme="1"/>
        <rFont val="等线"/>
        <family val="2"/>
        <scheme val="minor"/>
      </rPr>
      <t>†</t>
    </r>
  </si>
  <si>
    <r>
      <t>20.1</t>
    </r>
    <r>
      <rPr>
        <vertAlign val="superscript"/>
        <sz val="11"/>
        <color theme="1"/>
        <rFont val="等线"/>
        <family val="2"/>
        <scheme val="minor"/>
      </rPr>
      <t>†</t>
    </r>
  </si>
  <si>
    <r>
      <t>24.1</t>
    </r>
    <r>
      <rPr>
        <vertAlign val="superscript"/>
        <sz val="11"/>
        <color theme="1"/>
        <rFont val="等线"/>
        <family val="2"/>
        <scheme val="minor"/>
      </rPr>
      <t>†</t>
    </r>
  </si>
  <si>
    <r>
      <t>11.6</t>
    </r>
    <r>
      <rPr>
        <vertAlign val="superscript"/>
        <sz val="11"/>
        <color theme="1"/>
        <rFont val="等线"/>
        <family val="2"/>
        <scheme val="minor"/>
      </rPr>
      <t>†</t>
    </r>
  </si>
  <si>
    <r>
      <t>19.0</t>
    </r>
    <r>
      <rPr>
        <vertAlign val="superscript"/>
        <sz val="11"/>
        <color theme="1"/>
        <rFont val="等线"/>
        <family val="2"/>
        <scheme val="minor"/>
      </rPr>
      <t>†</t>
    </r>
  </si>
  <si>
    <r>
      <t>20.4</t>
    </r>
    <r>
      <rPr>
        <vertAlign val="superscript"/>
        <sz val="11"/>
        <color theme="1"/>
        <rFont val="等线"/>
        <family val="2"/>
        <scheme val="minor"/>
      </rPr>
      <t>†</t>
    </r>
  </si>
  <si>
    <r>
      <t>15.5</t>
    </r>
    <r>
      <rPr>
        <vertAlign val="superscript"/>
        <sz val="11"/>
        <color theme="1"/>
        <rFont val="等线"/>
        <family val="2"/>
        <scheme val="minor"/>
      </rPr>
      <t>†</t>
    </r>
  </si>
  <si>
    <r>
      <t>18.3</t>
    </r>
    <r>
      <rPr>
        <vertAlign val="superscript"/>
        <sz val="11"/>
        <color theme="1"/>
        <rFont val="等线"/>
        <family val="2"/>
        <scheme val="minor"/>
      </rPr>
      <t>†</t>
    </r>
  </si>
  <si>
    <r>
      <t>15.3</t>
    </r>
    <r>
      <rPr>
        <vertAlign val="superscript"/>
        <sz val="11"/>
        <color theme="1"/>
        <rFont val="等线"/>
        <family val="2"/>
        <scheme val="minor"/>
      </rPr>
      <t>†</t>
    </r>
  </si>
  <si>
    <r>
      <t>0.3</t>
    </r>
    <r>
      <rPr>
        <vertAlign val="superscript"/>
        <sz val="11"/>
        <color theme="1"/>
        <rFont val="等线"/>
        <family val="2"/>
        <scheme val="minor"/>
      </rPr>
      <t>†</t>
    </r>
  </si>
  <si>
    <r>
      <t>14.4</t>
    </r>
    <r>
      <rPr>
        <vertAlign val="superscript"/>
        <sz val="11"/>
        <color theme="1"/>
        <rFont val="等线"/>
        <family val="2"/>
        <scheme val="minor"/>
      </rPr>
      <t>†</t>
    </r>
  </si>
  <si>
    <r>
      <t>25.5</t>
    </r>
    <r>
      <rPr>
        <vertAlign val="superscript"/>
        <sz val="11"/>
        <color theme="1"/>
        <rFont val="等线"/>
        <family val="2"/>
        <scheme val="minor"/>
      </rPr>
      <t>†</t>
    </r>
  </si>
  <si>
    <r>
      <t>0.5</t>
    </r>
    <r>
      <rPr>
        <vertAlign val="superscript"/>
        <sz val="11"/>
        <color theme="1"/>
        <rFont val="等线"/>
        <family val="2"/>
        <scheme val="minor"/>
      </rPr>
      <t>†</t>
    </r>
  </si>
  <si>
    <r>
      <t>9.0</t>
    </r>
    <r>
      <rPr>
        <vertAlign val="superscript"/>
        <sz val="11"/>
        <color theme="1"/>
        <rFont val="等线"/>
        <family val="2"/>
        <scheme val="minor"/>
      </rPr>
      <t>†</t>
    </r>
  </si>
  <si>
    <r>
      <t>15.9</t>
    </r>
    <r>
      <rPr>
        <vertAlign val="superscript"/>
        <sz val="11"/>
        <color theme="1"/>
        <rFont val="等线"/>
        <family val="2"/>
        <scheme val="minor"/>
      </rPr>
      <t>†</t>
    </r>
  </si>
  <si>
    <r>
      <t>10.6</t>
    </r>
    <r>
      <rPr>
        <vertAlign val="superscript"/>
        <sz val="11"/>
        <color theme="1"/>
        <rFont val="等线"/>
        <family val="2"/>
        <scheme val="minor"/>
      </rPr>
      <t>†</t>
    </r>
  </si>
  <si>
    <r>
      <t>8.4</t>
    </r>
    <r>
      <rPr>
        <vertAlign val="superscript"/>
        <sz val="11"/>
        <color theme="1"/>
        <rFont val="等线"/>
        <family val="2"/>
        <scheme val="minor"/>
      </rPr>
      <t>†</t>
    </r>
  </si>
  <si>
    <r>
      <t>7.8</t>
    </r>
    <r>
      <rPr>
        <vertAlign val="superscript"/>
        <sz val="11"/>
        <color theme="1"/>
        <rFont val="等线"/>
        <family val="2"/>
        <scheme val="minor"/>
      </rPr>
      <t>†</t>
    </r>
  </si>
  <si>
    <r>
      <t>5.8</t>
    </r>
    <r>
      <rPr>
        <vertAlign val="superscript"/>
        <sz val="11"/>
        <color theme="1"/>
        <rFont val="等线"/>
        <family val="2"/>
        <scheme val="minor"/>
      </rPr>
      <t>†</t>
    </r>
  </si>
  <si>
    <r>
      <t>4.8</t>
    </r>
    <r>
      <rPr>
        <vertAlign val="superscript"/>
        <sz val="11"/>
        <color theme="1"/>
        <rFont val="等线"/>
        <family val="2"/>
        <scheme val="minor"/>
      </rPr>
      <t>†</t>
    </r>
  </si>
  <si>
    <r>
      <t>6.9</t>
    </r>
    <r>
      <rPr>
        <vertAlign val="superscript"/>
        <sz val="11"/>
        <color theme="1"/>
        <rFont val="等线"/>
        <family val="2"/>
        <scheme val="minor"/>
      </rPr>
      <t>†</t>
    </r>
  </si>
  <si>
    <t>Wheat, grain | Wheat, grain-babyfood | Wheat, flour | Wheat, flour-babyfood | Wheat, germ | Wheat, bran</t>
  </si>
  <si>
    <r>
      <t>16.2</t>
    </r>
    <r>
      <rPr>
        <vertAlign val="superscript"/>
        <sz val="11"/>
        <color theme="1"/>
        <rFont val="等线"/>
        <family val="2"/>
        <scheme val="minor"/>
      </rPr>
      <t>†</t>
    </r>
  </si>
  <si>
    <r>
      <t>0.6</t>
    </r>
    <r>
      <rPr>
        <vertAlign val="superscript"/>
        <sz val="11"/>
        <color theme="1"/>
        <rFont val="等线"/>
        <family val="2"/>
        <scheme val="minor"/>
      </rPr>
      <t>†</t>
    </r>
  </si>
  <si>
    <r>
      <t>0.9</t>
    </r>
    <r>
      <rPr>
        <vertAlign val="superscript"/>
        <sz val="11"/>
        <color theme="1"/>
        <rFont val="等线"/>
        <family val="2"/>
        <scheme val="minor"/>
      </rPr>
      <t>†</t>
    </r>
  </si>
  <si>
    <r>
      <t>5.6</t>
    </r>
    <r>
      <rPr>
        <vertAlign val="superscript"/>
        <sz val="11"/>
        <color theme="1"/>
        <rFont val="等线"/>
        <family val="2"/>
        <scheme val="minor"/>
      </rPr>
      <t>†</t>
    </r>
  </si>
  <si>
    <r>
      <t>7.0</t>
    </r>
    <r>
      <rPr>
        <vertAlign val="superscript"/>
        <sz val="11"/>
        <color theme="1"/>
        <rFont val="等线"/>
        <family val="2"/>
        <scheme val="minor"/>
      </rPr>
      <t>†</t>
    </r>
  </si>
  <si>
    <r>
      <t>9.6</t>
    </r>
    <r>
      <rPr>
        <vertAlign val="superscript"/>
        <sz val="11"/>
        <color theme="1"/>
        <rFont val="等线"/>
        <family val="2"/>
        <scheme val="minor"/>
      </rPr>
      <t>†</t>
    </r>
  </si>
  <si>
    <r>
      <t>10.3</t>
    </r>
    <r>
      <rPr>
        <vertAlign val="superscript"/>
        <sz val="11"/>
        <color theme="1"/>
        <rFont val="等线"/>
        <family val="2"/>
        <scheme val="minor"/>
      </rPr>
      <t>†</t>
    </r>
  </si>
  <si>
    <r>
      <t>12.3</t>
    </r>
    <r>
      <rPr>
        <vertAlign val="superscript"/>
        <sz val="11"/>
        <color theme="1"/>
        <rFont val="等线"/>
        <family val="2"/>
        <scheme val="minor"/>
      </rPr>
      <t>†</t>
    </r>
  </si>
  <si>
    <r>
      <t>9.8</t>
    </r>
    <r>
      <rPr>
        <vertAlign val="superscript"/>
        <sz val="11"/>
        <color theme="1"/>
        <rFont val="等线"/>
        <family val="2"/>
        <scheme val="minor"/>
      </rPr>
      <t>†</t>
    </r>
  </si>
  <si>
    <r>
      <t>13.5</t>
    </r>
    <r>
      <rPr>
        <vertAlign val="superscript"/>
        <sz val="11"/>
        <color theme="1"/>
        <rFont val="等线"/>
        <family val="2"/>
        <scheme val="minor"/>
      </rPr>
      <t>†</t>
    </r>
  </si>
  <si>
    <r>
      <t>6.2</t>
    </r>
    <r>
      <rPr>
        <vertAlign val="superscript"/>
        <sz val="11"/>
        <color theme="1"/>
        <rFont val="等线"/>
        <family val="2"/>
        <scheme val="minor"/>
      </rPr>
      <t>†</t>
    </r>
  </si>
  <si>
    <r>
      <t>4.9</t>
    </r>
    <r>
      <rPr>
        <vertAlign val="superscript"/>
        <sz val="11"/>
        <color theme="1"/>
        <rFont val="等线"/>
        <family val="2"/>
        <scheme val="minor"/>
      </rPr>
      <t>†</t>
    </r>
  </si>
  <si>
    <r>
      <t>2.9</t>
    </r>
    <r>
      <rPr>
        <vertAlign val="superscript"/>
        <sz val="11"/>
        <color theme="1"/>
        <rFont val="等线"/>
        <family val="2"/>
        <scheme val="minor"/>
      </rPr>
      <t>†</t>
    </r>
  </si>
  <si>
    <r>
      <t>3.8</t>
    </r>
    <r>
      <rPr>
        <vertAlign val="superscript"/>
        <sz val="11"/>
        <color theme="1"/>
        <rFont val="等线"/>
        <family val="2"/>
        <scheme val="minor"/>
      </rPr>
      <t>†</t>
    </r>
  </si>
  <si>
    <r>
      <t>11.7</t>
    </r>
    <r>
      <rPr>
        <vertAlign val="superscript"/>
        <sz val="11"/>
        <color theme="1"/>
        <rFont val="等线"/>
        <family val="2"/>
        <scheme val="minor"/>
      </rPr>
      <t>†</t>
    </r>
  </si>
  <si>
    <t>Mean and Percentile Body Weights (kg) Derived From NHANES (1999−2006) Males and Females Combined</t>
  </si>
  <si>
    <t>Age Group</t>
  </si>
  <si>
    <t>15th</t>
  </si>
  <si>
    <t>80th</t>
  </si>
  <si>
    <t>Birth to &lt;1 month</t>
  </si>
  <si>
    <t>1 to &lt;3 months</t>
  </si>
  <si>
    <t>3 to &lt;6 months</t>
  </si>
  <si>
    <t>6 to &lt;12 months</t>
  </si>
  <si>
    <t>1 to &lt;2 years</t>
  </si>
  <si>
    <t>2 to &lt;3 years</t>
  </si>
  <si>
    <t>3 to &lt;6 years</t>
  </si>
  <si>
    <t>6 to &lt;11 years</t>
  </si>
  <si>
    <t>11 to &lt;16 years</t>
  </si>
  <si>
    <t>16 to &lt;21 years</t>
  </si>
  <si>
    <t>21 to &lt;30 years</t>
  </si>
  <si>
    <t>30 to &lt;40 years</t>
  </si>
  <si>
    <t>40 to &lt;50 years</t>
  </si>
  <si>
    <t>50 to &lt;60 years</t>
  </si>
  <si>
    <t>60 to &lt;70 years</t>
  </si>
  <si>
    <t>70 to &lt;80 years</t>
  </si>
  <si>
    <t>Over 80 years</t>
  </si>
  <si>
    <t>Weilan Zhang, Nina Tran, Yanna Liang. Uptake of per- and polyfluoroalkyl substances (PFAS) by soybean across two generations. Journal of Hazardous Materials Advances. Volume 8. 2022. https://doi.org/10.1016/j.hazadv.2022.100170. (https://www.sciencedirect.com/science/article/pii/S2772416622001267)</t>
    <phoneticPr fontId="9" type="noConversion"/>
  </si>
  <si>
    <t>https://fcid.foodrisk.org/dbc/</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</si>
</sst>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family val="2"/>
      <scheme val="minor"/>
    </font>
    <font>
      <b/>
      <sz val="11"/>
      <color theme="1"/>
      <name val="等线"/>
      <family val="2"/>
      <scheme val="minor"/>
    </font>
    <font>
      <b/>
      <sz val="13.5"/>
      <color theme="1"/>
      <name val="等线"/>
      <family val="2"/>
      <scheme val="minor"/>
    </font>
    <font>
      <b/>
      <sz val="12"/>
      <color theme="1"/>
      <name val="等线"/>
      <family val="2"/>
      <scheme val="minor"/>
    </font>
    <font>
      <vertAlign val="superscript"/>
      <sz val="11"/>
      <color theme="1"/>
      <name val="等线"/>
      <family val="2"/>
      <scheme val="minor"/>
    </font>
    <font>
      <u/>
      <sz val="11"/>
      <color theme="10"/>
      <name val="等线"/>
      <family val="2"/>
      <scheme val="minor"/>
    </font>
    <font>
      <sz val="11"/>
      <color rgb="FF000000"/>
      <name val="等线"/>
      <family val="2"/>
      <scheme val="minor"/>
    </font>
    <font>
      <b/>
      <vertAlign val="subscript"/>
      <sz val="11"/>
      <color theme="1"/>
      <name val="等线"/>
      <family val="2"/>
      <scheme val="minor"/>
    </font>
    <font>
      <i/>
      <sz val="11"/>
      <color theme="1"/>
      <name val="等线"/>
      <family val="2"/>
      <scheme val="minor"/>
    </font>
    <font>
      <sz val="9"/>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s>
  <borders count="31">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80">
    <xf numFmtId="0" fontId="0" fillId="0" borderId="0" xfId="0"/>
    <xf numFmtId="0" fontId="0" fillId="0" borderId="0" xfId="0" applyAlignment="1">
      <alignment wrapText="1"/>
    </xf>
    <xf numFmtId="0" fontId="1" fillId="0" borderId="0" xfId="0" applyFont="1"/>
    <xf numFmtId="3"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vertical="center" wrapText="1"/>
    </xf>
    <xf numFmtId="0" fontId="1" fillId="0" borderId="0" xfId="0" applyFont="1" applyAlignment="1">
      <alignment vertical="center" wrapText="1"/>
    </xf>
    <xf numFmtId="9" fontId="1" fillId="0" borderId="0" xfId="0" applyNumberFormat="1" applyFont="1" applyAlignment="1">
      <alignment vertical="center" wrapText="1"/>
    </xf>
    <xf numFmtId="10" fontId="1" fillId="0" borderId="0" xfId="0" applyNumberFormat="1" applyFont="1" applyAlignment="1">
      <alignment vertical="center" wrapText="1"/>
    </xf>
    <xf numFmtId="0" fontId="0" fillId="0" borderId="11" xfId="0" applyBorder="1" applyAlignment="1">
      <alignment vertical="center" wrapText="1"/>
    </xf>
    <xf numFmtId="3" fontId="0" fillId="0" borderId="11" xfId="0" applyNumberFormat="1" applyBorder="1" applyAlignment="1">
      <alignment vertical="center" wrapText="1"/>
    </xf>
    <xf numFmtId="0" fontId="5" fillId="0" borderId="0" xfId="1"/>
    <xf numFmtId="0" fontId="0" fillId="2" borderId="11" xfId="0" applyFill="1" applyBorder="1" applyAlignment="1">
      <alignment vertical="center" wrapText="1"/>
    </xf>
    <xf numFmtId="0" fontId="0" fillId="3" borderId="0" xfId="0" applyFill="1"/>
    <xf numFmtId="0" fontId="6" fillId="3" borderId="0" xfId="0" applyFont="1" applyFill="1" applyAlignment="1">
      <alignment horizontal="left" vertical="center" wrapText="1" readingOrder="1"/>
    </xf>
    <xf numFmtId="0" fontId="6" fillId="0" borderId="0" xfId="0" applyFont="1" applyAlignment="1">
      <alignment horizontal="left" vertical="center" readingOrder="1"/>
    </xf>
    <xf numFmtId="0" fontId="6" fillId="0" borderId="0" xfId="0" applyFont="1" applyAlignment="1">
      <alignment horizontal="left" vertical="center" wrapText="1" readingOrder="1"/>
    </xf>
    <xf numFmtId="0" fontId="1" fillId="0" borderId="0" xfId="0" applyFont="1" applyAlignment="1">
      <alignment horizontal="center" vertical="center" wrapText="1"/>
    </xf>
    <xf numFmtId="0" fontId="5" fillId="0" borderId="0" xfId="1" applyAlignment="1">
      <alignment vertical="center" wrapText="1"/>
    </xf>
    <xf numFmtId="0" fontId="1" fillId="0" borderId="0" xfId="0" applyFont="1" applyAlignment="1">
      <alignment horizontal="center" vertical="center"/>
    </xf>
    <xf numFmtId="0" fontId="0" fillId="0" borderId="0" xfId="0" applyAlignment="1">
      <alignment vertical="center"/>
    </xf>
    <xf numFmtId="0" fontId="5" fillId="0" borderId="0" xfId="1" applyAlignment="1">
      <alignment vertical="center"/>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8" fillId="0" borderId="0" xfId="0" applyFont="1"/>
    <xf numFmtId="0" fontId="1" fillId="0" borderId="2" xfId="0" applyFont="1" applyBorder="1"/>
    <xf numFmtId="0" fontId="0" fillId="4" borderId="12" xfId="0" applyFill="1" applyBorder="1"/>
    <xf numFmtId="0" fontId="0" fillId="4" borderId="13" xfId="0" applyFill="1" applyBorder="1"/>
    <xf numFmtId="0" fontId="0" fillId="4" borderId="14" xfId="0" applyFill="1" applyBorder="1"/>
    <xf numFmtId="0" fontId="0" fillId="4" borderId="15" xfId="0" applyFill="1" applyBorder="1"/>
    <xf numFmtId="0" fontId="0" fillId="4" borderId="0" xfId="0" applyFill="1"/>
    <xf numFmtId="0" fontId="0" fillId="4" borderId="16" xfId="0"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Alignment="1">
      <alignment vertical="center" wrapText="1"/>
    </xf>
    <xf numFmtId="0" fontId="1" fillId="4" borderId="0" xfId="0" applyFont="1" applyFill="1" applyAlignment="1">
      <alignment vertical="center" wrapText="1"/>
    </xf>
    <xf numFmtId="0" fontId="0" fillId="0" borderId="21" xfId="0" applyBorder="1"/>
    <xf numFmtId="0" fontId="0" fillId="0" borderId="22"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1" fillId="0" borderId="21" xfId="0" applyFont="1" applyBorder="1"/>
    <xf numFmtId="0" fontId="1" fillId="0" borderId="22" xfId="0" applyFont="1" applyBorder="1"/>
    <xf numFmtId="0" fontId="1" fillId="0" borderId="23" xfId="0" applyFont="1" applyBorder="1"/>
    <xf numFmtId="0" fontId="0" fillId="0" borderId="20" xfId="0" applyBorder="1"/>
    <xf numFmtId="0" fontId="0" fillId="0" borderId="29" xfId="0" applyBorder="1"/>
    <xf numFmtId="0" fontId="6" fillId="4" borderId="0" xfId="0" applyFont="1" applyFill="1" applyAlignment="1">
      <alignment horizontal="left" vertical="center" wrapText="1" readingOrder="1"/>
    </xf>
    <xf numFmtId="0" fontId="6" fillId="0" borderId="1" xfId="0" applyFont="1" applyBorder="1" applyAlignment="1">
      <alignment horizontal="left" vertical="center" wrapText="1" readingOrder="1"/>
    </xf>
    <xf numFmtId="0" fontId="0" fillId="0" borderId="30" xfId="0" applyBorder="1"/>
    <xf numFmtId="0" fontId="0" fillId="4" borderId="29" xfId="0" applyFill="1" applyBorder="1"/>
    <xf numFmtId="0" fontId="0" fillId="4" borderId="6" xfId="0" applyFill="1" applyBorder="1"/>
    <xf numFmtId="0" fontId="0" fillId="4" borderId="5" xfId="0" applyFill="1" applyBorder="1"/>
    <xf numFmtId="0" fontId="0" fillId="4" borderId="11" xfId="0" applyFill="1" applyBorder="1" applyAlignment="1">
      <alignment vertical="center" wrapText="1"/>
    </xf>
    <xf numFmtId="0" fontId="1" fillId="0" borderId="0" xfId="0" applyFont="1" applyAlignment="1">
      <alignment horizontal="center" vertical="center" wrapText="1"/>
    </xf>
    <xf numFmtId="0" fontId="1" fillId="0" borderId="10" xfId="0" applyFont="1" applyBorder="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vertical="center" wrapText="1"/>
    </xf>
    <xf numFmtId="0" fontId="1" fillId="0" borderId="9" xfId="0" applyFont="1" applyBorder="1" applyAlignment="1">
      <alignment vertical="center" wrapText="1"/>
    </xf>
    <xf numFmtId="0" fontId="0" fillId="0" borderId="9" xfId="0" applyBorder="1" applyAlignment="1">
      <alignment vertical="center" wrapText="1"/>
    </xf>
    <xf numFmtId="0" fontId="0" fillId="4" borderId="21" xfId="0" applyFill="1" applyBorder="1" applyAlignment="1">
      <alignment horizontal="center"/>
    </xf>
    <xf numFmtId="0" fontId="0" fillId="4" borderId="22" xfId="0" applyFill="1" applyBorder="1" applyAlignment="1">
      <alignment horizontal="center"/>
    </xf>
    <xf numFmtId="0" fontId="0" fillId="4" borderId="23" xfId="0" applyFill="1" applyBorder="1" applyAlignment="1">
      <alignment horizontal="center"/>
    </xf>
    <xf numFmtId="0" fontId="5" fillId="0" borderId="0" xfId="1" applyAlignment="1">
      <alignment vertical="center" wrapText="1"/>
    </xf>
    <xf numFmtId="0" fontId="1" fillId="0" borderId="0" xfId="0" applyFont="1" applyAlignment="1">
      <alignment horizontal="center" vertical="center"/>
    </xf>
    <xf numFmtId="0" fontId="0" fillId="0" borderId="0" xfId="0" applyAlignment="1">
      <alignment vertical="center"/>
    </xf>
    <xf numFmtId="0" fontId="5"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hyperlink" Target="https://fcid.foodrisk.org/dbc/" TargetMode="External"/><Relationship Id="rId2" Type="http://schemas.openxmlformats.org/officeDocument/2006/relationships/hyperlink" Target="https://www.ars.usda.gov/northeast-area/beltsville-md/beltsville-human-nutrition-research-center/food-surveys-research-group/docs/wweianhanes-overview/" TargetMode="External"/><Relationship Id="rId1" Type="http://schemas.openxmlformats.org/officeDocument/2006/relationships/hyperlink" Target="https://fcid.foodrisk.org/faq/"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iris.epa.gov/ChemicalLanding/&amp;substance_nmbr=701" TargetMode="External"/><Relationship Id="rId1" Type="http://schemas.openxmlformats.org/officeDocument/2006/relationships/hyperlink" Target="https://www.epa.gov/sites/default/files/2016-05/documents/hesd_pfos_final-plain.pdf"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sciencedirect.com/topics/earth-and-planetary-sciences/organic-carbon" TargetMode="External"/><Relationship Id="rId13" Type="http://schemas.openxmlformats.org/officeDocument/2006/relationships/hyperlink" Target="https://www.sciencedirect.com/science/article/pii/S0013935118305577?casa_token=kRZKGj6YzzwAAAAA:BK-YdkbPd_fpsnCFwoASEte7aUNurDeVTlPEQLLvIeJnqm4nOgn4WOi3eeJ28f5HAqAD3ix8U-A" TargetMode="External"/><Relationship Id="rId18" Type="http://schemas.openxmlformats.org/officeDocument/2006/relationships/hyperlink" Target="https://www.sciencedirect.com/science/article/pii/S0013935118305577?casa_token=kRZKGj6YzzwAAAAA:BK-YdkbPd_fpsnCFwoASEte7aUNurDeVTlPEQLLvIeJnqm4nOgn4WOi3eeJ28f5HAqAD3ix8U-A" TargetMode="External"/><Relationship Id="rId3" Type="http://schemas.openxmlformats.org/officeDocument/2006/relationships/hyperlink" Target="https://www.sciencedirect.com/science/article/pii/S0013935118305577?casa_token=kRZKGj6YzzwAAAAA:BK-YdkbPd_fpsnCFwoASEte7aUNurDeVTlPEQLLvIeJnqm4nOgn4WOi3eeJ28f5HAqAD3ix8U-A" TargetMode="External"/><Relationship Id="rId7" Type="http://schemas.openxmlformats.org/officeDocument/2006/relationships/hyperlink" Target="https://www.sciencedirect.com/science/article/pii/S0013935118305577?casa_token=kRZKGj6YzzwAAAAA:BK-YdkbPd_fpsnCFwoASEte7aUNurDeVTlPEQLLvIeJnqm4nOgn4WOi3eeJ28f5HAqAD3ix8U-A" TargetMode="External"/><Relationship Id="rId12" Type="http://schemas.openxmlformats.org/officeDocument/2006/relationships/hyperlink" Target="https://www.sciencedirect.com/science/article/pii/S0013935118305577?casa_token=kRZKGj6YzzwAAAAA:BK-YdkbPd_fpsnCFwoASEte7aUNurDeVTlPEQLLvIeJnqm4nOgn4WOi3eeJ28f5HAqAD3ix8U-A" TargetMode="External"/><Relationship Id="rId17" Type="http://schemas.openxmlformats.org/officeDocument/2006/relationships/hyperlink" Target="https://www.sciencedirect.com/science/article/pii/S0013935118305577?casa_token=kRZKGj6YzzwAAAAA:BK-YdkbPd_fpsnCFwoASEte7aUNurDeVTlPEQLLvIeJnqm4nOgn4WOi3eeJ28f5HAqAD3ix8U-A" TargetMode="External"/><Relationship Id="rId2" Type="http://schemas.openxmlformats.org/officeDocument/2006/relationships/hyperlink" Target="https://www.sciencedirect.com/science/article/pii/S0013935118305577?casa_token=kRZKGj6YzzwAAAAA:BK-YdkbPd_fpsnCFwoASEte7aUNurDeVTlPEQLLvIeJnqm4nOgn4WOi3eeJ28f5HAqAD3ix8U-A" TargetMode="External"/><Relationship Id="rId16" Type="http://schemas.openxmlformats.org/officeDocument/2006/relationships/hyperlink" Target="https://www.sciencedirect.com/science/article/pii/S0013935118305577?casa_token=kRZKGj6YzzwAAAAA:BK-YdkbPd_fpsnCFwoASEte7aUNurDeVTlPEQLLvIeJnqm4nOgn4WOi3eeJ28f5HAqAD3ix8U-A" TargetMode="External"/><Relationship Id="rId1" Type="http://schemas.openxmlformats.org/officeDocument/2006/relationships/hyperlink" Target="https://www.sciencedirect.com/science/article/pii/S0013935118305577?casa_token=kRZKGj6YzzwAAAAA:BK-YdkbPd_fpsnCFwoASEte7aUNurDeVTlPEQLLvIeJnqm4nOgn4WOi3eeJ28f5HAqAD3ix8U-A" TargetMode="External"/><Relationship Id="rId6" Type="http://schemas.openxmlformats.org/officeDocument/2006/relationships/hyperlink" Target="https://www.sciencedirect.com/science/article/pii/S0013935118305577?casa_token=kRZKGj6YzzwAAAAA:BK-YdkbPd_fpsnCFwoASEte7aUNurDeVTlPEQLLvIeJnqm4nOgn4WOi3eeJ28f5HAqAD3ix8U-A" TargetMode="External"/><Relationship Id="rId11" Type="http://schemas.openxmlformats.org/officeDocument/2006/relationships/hyperlink" Target="https://www.sciencedirect.com/science/article/pii/S0013935118305577?casa_token=kRZKGj6YzzwAAAAA:BK-YdkbPd_fpsnCFwoASEte7aUNurDeVTlPEQLLvIeJnqm4nOgn4WOi3eeJ28f5HAqAD3ix8U-A" TargetMode="External"/><Relationship Id="rId5" Type="http://schemas.openxmlformats.org/officeDocument/2006/relationships/hyperlink" Target="https://www.sciencedirect.com/science/article/pii/S0013935118305577?casa_token=kRZKGj6YzzwAAAAA:BK-YdkbPd_fpsnCFwoASEte7aUNurDeVTlPEQLLvIeJnqm4nOgn4WOi3eeJ28f5HAqAD3ix8U-A" TargetMode="External"/><Relationship Id="rId15" Type="http://schemas.openxmlformats.org/officeDocument/2006/relationships/hyperlink" Target="https://www.sciencedirect.com/science/article/pii/S0013935118305577?casa_token=kRZKGj6YzzwAAAAA:BK-YdkbPd_fpsnCFwoASEte7aUNurDeVTlPEQLLvIeJnqm4nOgn4WOi3eeJ28f5HAqAD3ix8U-A" TargetMode="External"/><Relationship Id="rId10" Type="http://schemas.openxmlformats.org/officeDocument/2006/relationships/hyperlink" Target="https://www.sciencedirect.com/science/article/pii/S0013935118305577?casa_token=kRZKGj6YzzwAAAAA:BK-YdkbPd_fpsnCFwoASEte7aUNurDeVTlPEQLLvIeJnqm4nOgn4WOi3eeJ28f5HAqAD3ix8U-A" TargetMode="External"/><Relationship Id="rId19" Type="http://schemas.openxmlformats.org/officeDocument/2006/relationships/hyperlink" Target="https://www.sciencedirect.com/science/article/pii/S0013935118305577?casa_token=kRZKGj6YzzwAAAAA:BK-YdkbPd_fpsnCFwoASEte7aUNurDeVTlPEQLLvIeJnqm4nOgn4WOi3eeJ28f5HAqAD3ix8U-A" TargetMode="External"/><Relationship Id="rId4" Type="http://schemas.openxmlformats.org/officeDocument/2006/relationships/hyperlink" Target="https://www.sciencedirect.com/science/article/pii/S0013935118305577?casa_token=kRZKGj6YzzwAAAAA:BK-YdkbPd_fpsnCFwoASEte7aUNurDeVTlPEQLLvIeJnqm4nOgn4WOi3eeJ28f5HAqAD3ix8U-A" TargetMode="External"/><Relationship Id="rId9" Type="http://schemas.openxmlformats.org/officeDocument/2006/relationships/hyperlink" Target="https://www.sciencedirect.com/science/article/pii/S0013935118305577?casa_token=kRZKGj6YzzwAAAAA:BK-YdkbPd_fpsnCFwoASEte7aUNurDeVTlPEQLLvIeJnqm4nOgn4WOi3eeJ28f5HAqAD3ix8U-A" TargetMode="External"/><Relationship Id="rId14" Type="http://schemas.openxmlformats.org/officeDocument/2006/relationships/hyperlink" Target="https://www.sciencedirect.com/science/article/pii/S0013935118305577?casa_token=kRZKGj6YzzwAAAAA:BK-YdkbPd_fpsnCFwoASEte7aUNurDeVTlPEQLLvIeJnqm4nOgn4WOi3eeJ28f5HAqAD3ix8U-A"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sciencedirect.com/science/article/pii/S0013935118305577?casa_token=kRZKGj6YzzwAAAAA:BK-YdkbPd_fpsnCFwoASEte7aUNurDeVTlPEQLLvIeJnqm4nOgn4WOi3eeJ28f5HAqAD3ix8U-A" TargetMode="External"/><Relationship Id="rId3" Type="http://schemas.openxmlformats.org/officeDocument/2006/relationships/hyperlink" Target="https://www.sciencedirect.com/science/article/pii/S0013935118305577?casa_token=kRZKGj6YzzwAAAAA:BK-YdkbPd_fpsnCFwoASEte7aUNurDeVTlPEQLLvIeJnqm4nOgn4WOi3eeJ28f5HAqAD3ix8U-A" TargetMode="External"/><Relationship Id="rId7" Type="http://schemas.openxmlformats.org/officeDocument/2006/relationships/hyperlink" Target="https://www.sciencedirect.com/science/article/pii/S0013935118305577?casa_token=kRZKGj6YzzwAAAAA:BK-YdkbPd_fpsnCFwoASEte7aUNurDeVTlPEQLLvIeJnqm4nOgn4WOi3eeJ28f5HAqAD3ix8U-A" TargetMode="External"/><Relationship Id="rId2" Type="http://schemas.openxmlformats.org/officeDocument/2006/relationships/hyperlink" Target="https://www.sciencedirect.com/science/article/pii/S0013935118305577?casa_token=kRZKGj6YzzwAAAAA:BK-YdkbPd_fpsnCFwoASEte7aUNurDeVTlPEQLLvIeJnqm4nOgn4WOi3eeJ28f5HAqAD3ix8U-A" TargetMode="External"/><Relationship Id="rId1" Type="http://schemas.openxmlformats.org/officeDocument/2006/relationships/hyperlink" Target="https://www.sciencedirect.com/science/article/pii/S0013935118305577?casa_token=kRZKGj6YzzwAAAAA:BK-YdkbPd_fpsnCFwoASEte7aUNurDeVTlPEQLLvIeJnqm4nOgn4WOi3eeJ28f5HAqAD3ix8U-A" TargetMode="External"/><Relationship Id="rId6" Type="http://schemas.openxmlformats.org/officeDocument/2006/relationships/hyperlink" Target="https://www.sciencedirect.com/science/article/pii/S0013935118305577?casa_token=kRZKGj6YzzwAAAAA:BK-YdkbPd_fpsnCFwoASEte7aUNurDeVTlPEQLLvIeJnqm4nOgn4WOi3eeJ28f5HAqAD3ix8U-A" TargetMode="External"/><Relationship Id="rId11" Type="http://schemas.openxmlformats.org/officeDocument/2006/relationships/hyperlink" Target="https://www.sciencedirect.com/topics/earth-and-planetary-sciences/organic-carbon" TargetMode="External"/><Relationship Id="rId5" Type="http://schemas.openxmlformats.org/officeDocument/2006/relationships/hyperlink" Target="https://www.sciencedirect.com/science/article/pii/S0013935118305577?casa_token=kRZKGj6YzzwAAAAA:BK-YdkbPd_fpsnCFwoASEte7aUNurDeVTlPEQLLvIeJnqm4nOgn4WOi3eeJ28f5HAqAD3ix8U-A" TargetMode="External"/><Relationship Id="rId10" Type="http://schemas.openxmlformats.org/officeDocument/2006/relationships/hyperlink" Target="https://www.sciencedirect.com/science/article/pii/S0013935118305577?casa_token=kRZKGj6YzzwAAAAA:BK-YdkbPd_fpsnCFwoASEte7aUNurDeVTlPEQLLvIeJnqm4nOgn4WOi3eeJ28f5HAqAD3ix8U-A" TargetMode="External"/><Relationship Id="rId4" Type="http://schemas.openxmlformats.org/officeDocument/2006/relationships/hyperlink" Target="https://www.sciencedirect.com/science/article/pii/S0013935118305577?casa_token=kRZKGj6YzzwAAAAA:BK-YdkbPd_fpsnCFwoASEte7aUNurDeVTlPEQLLvIeJnqm4nOgn4WOi3eeJ28f5HAqAD3ix8U-A" TargetMode="External"/><Relationship Id="rId9" Type="http://schemas.openxmlformats.org/officeDocument/2006/relationships/hyperlink" Target="https://www.sciencedirect.com/science/article/pii/S0013935118305577?casa_token=kRZKGj6YzzwAAAAA:BK-YdkbPd_fpsnCFwoASEte7aUNurDeVTlPEQLLvIeJnqm4nOgn4WOi3eeJ28f5HAqAD3ix8U-A"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ars.usda.gov/northeast-area/beltsville-md/beltsville-human-nutrition-research-center/food-surveys-research-group/docs/wweianhanes-overview/" TargetMode="External"/><Relationship Id="rId1" Type="http://schemas.openxmlformats.org/officeDocument/2006/relationships/hyperlink" Target="https://fcid.foodrisk.org/faq/"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www.ars.usda.gov/northeast-area/beltsville-md/beltsville-human-nutrition-research-center/food-surveys-research-group/docs/wweianhanes-overview/" TargetMode="External"/><Relationship Id="rId1" Type="http://schemas.openxmlformats.org/officeDocument/2006/relationships/hyperlink" Target="https://fcid.foodrisk.org/faq/"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ars.usda.gov/northeast-area/beltsville-md/beltsville-human-nutrition-research-center/food-surveys-research-group/docs/wweianhanes-overview/" TargetMode="External"/><Relationship Id="rId1" Type="http://schemas.openxmlformats.org/officeDocument/2006/relationships/hyperlink" Target="https://fcid.foodrisk.org/fa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754D-9D09-4DC9-9209-ADEFAC9B2957}">
  <dimension ref="A1:M11"/>
  <sheetViews>
    <sheetView tabSelected="1" workbookViewId="0">
      <selection activeCell="E28" sqref="E28"/>
    </sheetView>
  </sheetViews>
  <sheetFormatPr baseColWidth="10" defaultColWidth="8.83203125" defaultRowHeight="15"/>
  <sheetData>
    <row r="1" spans="1:13">
      <c r="A1" t="s">
        <v>0</v>
      </c>
      <c r="F1" t="s">
        <v>1</v>
      </c>
      <c r="M1" t="s">
        <v>2</v>
      </c>
    </row>
    <row r="2" spans="1:13">
      <c r="A2" t="s">
        <v>3</v>
      </c>
      <c r="B2" t="s">
        <v>4</v>
      </c>
      <c r="F2" t="s">
        <v>3</v>
      </c>
      <c r="G2" t="s">
        <v>4</v>
      </c>
    </row>
    <row r="3" spans="1:13">
      <c r="A3">
        <v>5.0000000000000001E-3</v>
      </c>
      <c r="B3" t="s">
        <v>5</v>
      </c>
      <c r="F3">
        <v>5.0000000000000001E-3</v>
      </c>
      <c r="G3" t="s">
        <v>5</v>
      </c>
    </row>
    <row r="5" spans="1:13">
      <c r="A5" t="s">
        <v>6</v>
      </c>
      <c r="F5" t="s">
        <v>7</v>
      </c>
    </row>
    <row r="6" spans="1:13">
      <c r="A6" t="s">
        <v>3</v>
      </c>
      <c r="B6" t="s">
        <v>4</v>
      </c>
      <c r="F6" t="s">
        <v>3</v>
      </c>
      <c r="G6" t="s">
        <v>4</v>
      </c>
    </row>
    <row r="7" spans="1:13">
      <c r="A7">
        <v>5.0000000000000001E-3</v>
      </c>
      <c r="B7" t="s">
        <v>5</v>
      </c>
      <c r="F7">
        <v>5.0000000000000001E-3</v>
      </c>
      <c r="G7" t="s">
        <v>5</v>
      </c>
    </row>
    <row r="9" spans="1:13">
      <c r="F9" t="s">
        <v>8</v>
      </c>
    </row>
    <row r="10" spans="1:13">
      <c r="F10" t="s">
        <v>3</v>
      </c>
      <c r="G10" t="s">
        <v>4</v>
      </c>
    </row>
    <row r="11" spans="1:13">
      <c r="F11">
        <v>5.0000000000000001E-3</v>
      </c>
      <c r="G11" t="s">
        <v>5</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73B11-B934-47FC-B644-90E4EF61BA6A}">
  <dimension ref="A1:G28"/>
  <sheetViews>
    <sheetView workbookViewId="0">
      <selection activeCell="E27" sqref="E27"/>
    </sheetView>
  </sheetViews>
  <sheetFormatPr baseColWidth="10" defaultColWidth="8.83203125" defaultRowHeight="15"/>
  <cols>
    <col min="2" max="2" width="15.83203125" bestFit="1" customWidth="1"/>
  </cols>
  <sheetData>
    <row r="1" spans="1:7">
      <c r="A1" t="s">
        <v>9</v>
      </c>
    </row>
    <row r="2" spans="1:7">
      <c r="A2" s="2" t="s">
        <v>10</v>
      </c>
    </row>
    <row r="3" spans="1:7">
      <c r="A3" s="4"/>
      <c r="B3" s="4" t="s">
        <v>11</v>
      </c>
      <c r="C3" s="4" t="s">
        <v>12</v>
      </c>
      <c r="D3" s="4" t="s">
        <v>13</v>
      </c>
      <c r="E3" s="4" t="s">
        <v>14</v>
      </c>
      <c r="F3" s="4" t="s">
        <v>4</v>
      </c>
    </row>
    <row r="4" spans="1:7">
      <c r="A4" t="s">
        <v>15</v>
      </c>
      <c r="C4">
        <v>108</v>
      </c>
      <c r="D4">
        <v>277</v>
      </c>
      <c r="E4">
        <v>3200</v>
      </c>
      <c r="F4" t="s">
        <v>5</v>
      </c>
      <c r="G4" t="s">
        <v>16</v>
      </c>
    </row>
    <row r="5" spans="1:7">
      <c r="A5" s="40" t="s">
        <v>17</v>
      </c>
      <c r="B5" s="45">
        <v>95</v>
      </c>
      <c r="C5" s="46">
        <v>40</v>
      </c>
      <c r="D5" s="45">
        <v>179</v>
      </c>
      <c r="E5" s="45">
        <v>2150</v>
      </c>
      <c r="F5" s="40" t="s">
        <v>5</v>
      </c>
    </row>
    <row r="6" spans="1:7">
      <c r="A6" t="s">
        <v>18</v>
      </c>
      <c r="B6">
        <v>15</v>
      </c>
      <c r="C6" s="12">
        <v>1.1000000000000001</v>
      </c>
      <c r="D6" s="12">
        <v>4.0999999999999996</v>
      </c>
      <c r="E6" s="12">
        <v>38</v>
      </c>
      <c r="F6" t="s">
        <v>5</v>
      </c>
    </row>
    <row r="7" spans="1:7">
      <c r="A7" t="s">
        <v>19</v>
      </c>
      <c r="B7">
        <v>76</v>
      </c>
      <c r="C7" s="12">
        <v>5.0999999999999996</v>
      </c>
      <c r="D7" s="12">
        <v>12</v>
      </c>
      <c r="E7" s="12">
        <v>162</v>
      </c>
      <c r="F7" t="s">
        <v>5</v>
      </c>
    </row>
    <row r="8" spans="1:7">
      <c r="A8" t="s">
        <v>20</v>
      </c>
      <c r="B8">
        <v>63</v>
      </c>
      <c r="C8" s="12">
        <v>4.8</v>
      </c>
      <c r="D8" s="12">
        <v>11</v>
      </c>
      <c r="E8" s="12">
        <v>96</v>
      </c>
      <c r="F8" t="s">
        <v>5</v>
      </c>
    </row>
    <row r="9" spans="1:7">
      <c r="A9" t="s">
        <v>21</v>
      </c>
      <c r="B9">
        <v>14</v>
      </c>
      <c r="C9" s="12">
        <v>0.3</v>
      </c>
      <c r="D9" s="12">
        <v>1.2</v>
      </c>
      <c r="E9" s="12">
        <v>11</v>
      </c>
      <c r="F9" t="s">
        <v>5</v>
      </c>
    </row>
    <row r="10" spans="1:7">
      <c r="A10" t="s">
        <v>22</v>
      </c>
      <c r="B10">
        <v>39</v>
      </c>
      <c r="C10" s="12">
        <v>3.4</v>
      </c>
      <c r="D10" s="12">
        <v>11</v>
      </c>
      <c r="E10" s="12">
        <v>114</v>
      </c>
      <c r="F10" t="s">
        <v>5</v>
      </c>
    </row>
    <row r="11" spans="1:7">
      <c r="A11" t="s">
        <v>23</v>
      </c>
      <c r="B11">
        <v>14</v>
      </c>
      <c r="C11" s="12">
        <v>0.8</v>
      </c>
      <c r="D11" s="12">
        <v>5.4</v>
      </c>
      <c r="E11" s="12">
        <v>74</v>
      </c>
      <c r="F11" t="s">
        <v>5</v>
      </c>
    </row>
    <row r="12" spans="1:7">
      <c r="A12" t="s">
        <v>24</v>
      </c>
      <c r="B12">
        <v>36</v>
      </c>
      <c r="C12" s="12">
        <v>1.2</v>
      </c>
      <c r="D12" s="12">
        <v>3.8</v>
      </c>
      <c r="E12" s="12">
        <v>40</v>
      </c>
      <c r="F12" t="s">
        <v>5</v>
      </c>
    </row>
    <row r="13" spans="1:7">
      <c r="A13" t="s">
        <v>25</v>
      </c>
      <c r="B13">
        <v>73</v>
      </c>
      <c r="C13" s="12">
        <v>6.8</v>
      </c>
      <c r="D13" s="12">
        <v>13</v>
      </c>
      <c r="E13" s="12">
        <v>120</v>
      </c>
      <c r="F13" t="s">
        <v>5</v>
      </c>
    </row>
    <row r="14" spans="1:7">
      <c r="A14" t="s">
        <v>26</v>
      </c>
      <c r="B14">
        <v>10</v>
      </c>
      <c r="C14" s="12">
        <v>0.4</v>
      </c>
      <c r="D14" s="12">
        <v>2.5</v>
      </c>
      <c r="E14" s="12">
        <v>35</v>
      </c>
      <c r="F14" t="s">
        <v>5</v>
      </c>
    </row>
    <row r="15" spans="1:7">
      <c r="A15" t="s">
        <v>27</v>
      </c>
      <c r="B15">
        <v>21</v>
      </c>
      <c r="C15" s="12">
        <v>1.2</v>
      </c>
      <c r="D15" s="12">
        <v>3.5</v>
      </c>
      <c r="E15" s="12">
        <v>28</v>
      </c>
      <c r="F15" t="s">
        <v>5</v>
      </c>
    </row>
    <row r="16" spans="1:7">
      <c r="A16" t="s">
        <v>28</v>
      </c>
      <c r="B16">
        <v>0.3</v>
      </c>
      <c r="C16" s="12">
        <v>0</v>
      </c>
      <c r="D16" s="12">
        <v>0.1</v>
      </c>
      <c r="E16" s="12">
        <v>1.9</v>
      </c>
      <c r="F16" t="s">
        <v>5</v>
      </c>
    </row>
    <row r="17" spans="1:6">
      <c r="A17" t="s">
        <v>29</v>
      </c>
      <c r="B17">
        <v>1.4</v>
      </c>
      <c r="C17" s="12">
        <v>0</v>
      </c>
      <c r="D17" s="12">
        <v>0.4</v>
      </c>
      <c r="E17" s="12">
        <v>7.4</v>
      </c>
      <c r="F17" t="s">
        <v>5</v>
      </c>
    </row>
    <row r="18" spans="1:6">
      <c r="A18" t="s">
        <v>30</v>
      </c>
      <c r="B18" s="12">
        <v>1.7</v>
      </c>
      <c r="C18" s="12">
        <v>0</v>
      </c>
      <c r="D18" s="12">
        <v>0.3</v>
      </c>
      <c r="E18" s="12">
        <v>4.7</v>
      </c>
      <c r="F18" t="s">
        <v>5</v>
      </c>
    </row>
    <row r="19" spans="1:6">
      <c r="A19" t="s">
        <v>31</v>
      </c>
      <c r="B19" s="12">
        <v>36</v>
      </c>
      <c r="C19" s="12">
        <v>1.8</v>
      </c>
      <c r="D19" s="12">
        <v>5.6</v>
      </c>
      <c r="E19" s="12">
        <v>54</v>
      </c>
      <c r="F19" t="s">
        <v>5</v>
      </c>
    </row>
    <row r="20" spans="1:6">
      <c r="A20" t="s">
        <v>32</v>
      </c>
      <c r="B20" s="12">
        <v>0.3</v>
      </c>
      <c r="C20" s="12">
        <v>0</v>
      </c>
      <c r="D20" s="12">
        <v>0.5</v>
      </c>
      <c r="E20" s="12">
        <v>9.3000000000000007</v>
      </c>
      <c r="F20" t="s">
        <v>5</v>
      </c>
    </row>
    <row r="21" spans="1:6">
      <c r="A21" t="s">
        <v>33</v>
      </c>
      <c r="B21" s="12">
        <v>17</v>
      </c>
      <c r="C21" s="12">
        <v>9.8000000000000007</v>
      </c>
      <c r="D21" s="12">
        <v>114</v>
      </c>
      <c r="E21" s="12">
        <v>2050</v>
      </c>
      <c r="F21" t="s">
        <v>5</v>
      </c>
    </row>
    <row r="22" spans="1:6">
      <c r="A22" t="s">
        <v>34</v>
      </c>
      <c r="B22" s="12">
        <v>19</v>
      </c>
      <c r="C22" s="12">
        <v>1.2</v>
      </c>
      <c r="D22" s="12">
        <v>8</v>
      </c>
      <c r="E22" s="12">
        <v>136</v>
      </c>
      <c r="F22" t="s">
        <v>5</v>
      </c>
    </row>
    <row r="23" spans="1:6">
      <c r="A23" t="s">
        <v>35</v>
      </c>
      <c r="B23" s="12">
        <v>92</v>
      </c>
      <c r="C23" s="12">
        <v>13</v>
      </c>
      <c r="D23" s="12">
        <v>18</v>
      </c>
      <c r="E23" s="12">
        <v>190</v>
      </c>
      <c r="F23" t="s">
        <v>5</v>
      </c>
    </row>
    <row r="24" spans="1:6">
      <c r="A24" t="s">
        <v>36</v>
      </c>
      <c r="B24" s="12">
        <v>87</v>
      </c>
      <c r="C24" s="12">
        <v>10</v>
      </c>
      <c r="D24" s="12">
        <v>30</v>
      </c>
      <c r="E24" s="12">
        <v>461</v>
      </c>
      <c r="F24" t="s">
        <v>5</v>
      </c>
    </row>
    <row r="25" spans="1:6">
      <c r="A25" t="s">
        <v>37</v>
      </c>
      <c r="B25" s="12">
        <v>49</v>
      </c>
      <c r="C25" s="12">
        <v>1.7</v>
      </c>
      <c r="D25" s="12">
        <v>4.5999999999999996</v>
      </c>
      <c r="E25" s="12">
        <v>73</v>
      </c>
      <c r="F25" t="s">
        <v>5</v>
      </c>
    </row>
    <row r="26" spans="1:6">
      <c r="A26" t="s">
        <v>38</v>
      </c>
      <c r="B26" s="12">
        <v>37</v>
      </c>
      <c r="C26" s="12">
        <v>1.4</v>
      </c>
      <c r="D26" s="12">
        <v>5.2</v>
      </c>
      <c r="E26" s="12">
        <v>78</v>
      </c>
      <c r="F26" t="s">
        <v>5</v>
      </c>
    </row>
    <row r="27" spans="1:6">
      <c r="A27" t="s">
        <v>39</v>
      </c>
      <c r="B27" s="12">
        <v>62</v>
      </c>
      <c r="C27" s="12">
        <v>2.4</v>
      </c>
      <c r="D27" s="12">
        <v>4.8</v>
      </c>
      <c r="E27" s="12">
        <v>55</v>
      </c>
      <c r="F27" t="s">
        <v>5</v>
      </c>
    </row>
    <row r="28" spans="1:6">
      <c r="A28" t="s">
        <v>40</v>
      </c>
      <c r="B28" s="12">
        <v>21</v>
      </c>
      <c r="C28" s="12">
        <v>1</v>
      </c>
      <c r="D28" s="12">
        <v>11</v>
      </c>
      <c r="E28" s="12">
        <v>200</v>
      </c>
      <c r="F28" t="s">
        <v>5</v>
      </c>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BD85-8321-4E75-B086-6C6C9D4A2887}">
  <dimension ref="A1:H19"/>
  <sheetViews>
    <sheetView workbookViewId="0">
      <selection activeCell="H11" sqref="H11"/>
    </sheetView>
  </sheetViews>
  <sheetFormatPr baseColWidth="10" defaultColWidth="8.83203125" defaultRowHeight="15"/>
  <cols>
    <col min="1" max="1" width="22.83203125" customWidth="1"/>
    <col min="2" max="2" width="21.6640625" customWidth="1"/>
    <col min="3" max="3" width="19.83203125" customWidth="1"/>
    <col min="4" max="4" width="21.6640625" customWidth="1"/>
    <col min="5" max="5" width="27.6640625" customWidth="1"/>
    <col min="6" max="6" width="18.5" customWidth="1"/>
    <col min="7" max="7" width="13.1640625" customWidth="1"/>
    <col min="8" max="8" width="14.5" customWidth="1"/>
  </cols>
  <sheetData>
    <row r="1" spans="1:8">
      <c r="A1" t="s">
        <v>41</v>
      </c>
    </row>
    <row r="2" spans="1:8" ht="16" thickBot="1">
      <c r="A2" s="2" t="s">
        <v>42</v>
      </c>
    </row>
    <row r="3" spans="1:8">
      <c r="A3" s="49" t="s">
        <v>43</v>
      </c>
      <c r="B3" s="50" t="s">
        <v>44</v>
      </c>
      <c r="C3" s="50" t="s">
        <v>45</v>
      </c>
      <c r="D3" s="50" t="s">
        <v>46</v>
      </c>
      <c r="E3" s="51" t="s">
        <v>47</v>
      </c>
      <c r="F3" s="50" t="s">
        <v>48</v>
      </c>
      <c r="G3" s="52"/>
    </row>
    <row r="4" spans="1:8">
      <c r="A4" s="29" t="s">
        <v>49</v>
      </c>
      <c r="B4" t="s">
        <v>50</v>
      </c>
      <c r="C4" t="s">
        <v>51</v>
      </c>
      <c r="D4" t="s">
        <v>52</v>
      </c>
      <c r="E4" s="8">
        <v>1</v>
      </c>
      <c r="F4">
        <v>10</v>
      </c>
      <c r="G4" s="30"/>
    </row>
    <row r="5" spans="1:8">
      <c r="A5" s="29" t="s">
        <v>53</v>
      </c>
      <c r="B5" t="s">
        <v>54</v>
      </c>
      <c r="C5" t="s">
        <v>55</v>
      </c>
      <c r="D5" t="s">
        <v>56</v>
      </c>
      <c r="E5" s="8">
        <v>3</v>
      </c>
      <c r="F5">
        <v>5</v>
      </c>
      <c r="G5" s="30"/>
    </row>
    <row r="6" spans="1:8">
      <c r="A6" s="29" t="s">
        <v>57</v>
      </c>
      <c r="B6" t="s">
        <v>58</v>
      </c>
      <c r="C6" t="s">
        <v>51</v>
      </c>
      <c r="D6" t="s">
        <v>59</v>
      </c>
      <c r="E6" s="64">
        <v>1</v>
      </c>
      <c r="F6" s="40">
        <v>20</v>
      </c>
      <c r="G6" s="41"/>
    </row>
    <row r="7" spans="1:8" ht="16" thickBot="1">
      <c r="A7" s="31" t="s">
        <v>60</v>
      </c>
      <c r="B7" s="32" t="s">
        <v>61</v>
      </c>
      <c r="C7" s="32" t="s">
        <v>62</v>
      </c>
      <c r="D7" s="32" t="s">
        <v>56</v>
      </c>
      <c r="E7" s="53">
        <v>3</v>
      </c>
      <c r="F7" s="32">
        <v>5</v>
      </c>
      <c r="G7" s="33"/>
    </row>
    <row r="9" spans="1:8">
      <c r="E9" s="2" t="s">
        <v>63</v>
      </c>
    </row>
    <row r="10" spans="1:8">
      <c r="E10" s="54" t="s">
        <v>64</v>
      </c>
      <c r="F10" s="55" t="s">
        <v>65</v>
      </c>
      <c r="G10" s="55" t="s">
        <v>66</v>
      </c>
      <c r="H10" s="56" t="s">
        <v>67</v>
      </c>
    </row>
    <row r="11" spans="1:8">
      <c r="E11" s="8" t="s">
        <v>49</v>
      </c>
      <c r="F11">
        <f>E4*F4*D16*BiosolidConc.!C5</f>
        <v>362873880</v>
      </c>
      <c r="G11">
        <f>F11/10^3</f>
        <v>362873.88</v>
      </c>
      <c r="H11" s="9">
        <f>G11/D17/D18</f>
        <v>0.19999999999999998</v>
      </c>
    </row>
    <row r="12" spans="1:8">
      <c r="E12" s="8" t="s">
        <v>68</v>
      </c>
      <c r="F12">
        <f>E5*F5*D16*BiosolidConc.!C5</f>
        <v>544310820</v>
      </c>
      <c r="G12">
        <f t="shared" ref="G12:G13" si="0">F12/10^3</f>
        <v>544310.81999999995</v>
      </c>
      <c r="H12" s="9">
        <f>G12/D17/D18</f>
        <v>0.29999999999999993</v>
      </c>
    </row>
    <row r="13" spans="1:8">
      <c r="E13" s="8" t="s">
        <v>57</v>
      </c>
      <c r="F13">
        <f>E6*F6*D16*BiosolidConc.!C5</f>
        <v>725747760</v>
      </c>
      <c r="G13">
        <f t="shared" si="0"/>
        <v>725747.76</v>
      </c>
      <c r="H13" s="63">
        <f>G13/D17/D18</f>
        <v>0.39999999999999997</v>
      </c>
    </row>
    <row r="14" spans="1:8">
      <c r="E14" s="8"/>
      <c r="H14" s="9"/>
    </row>
    <row r="15" spans="1:8">
      <c r="B15" s="2" t="s">
        <v>69</v>
      </c>
      <c r="E15" s="10"/>
      <c r="F15" s="4"/>
      <c r="G15" s="4"/>
      <c r="H15" s="11"/>
    </row>
    <row r="16" spans="1:8">
      <c r="B16" s="5" t="s">
        <v>70</v>
      </c>
      <c r="C16" s="6" t="s">
        <v>71</v>
      </c>
      <c r="D16" s="7">
        <v>907184.7</v>
      </c>
    </row>
    <row r="17" spans="2:4">
      <c r="B17" s="8" t="s">
        <v>72</v>
      </c>
      <c r="C17" t="s">
        <v>73</v>
      </c>
      <c r="D17" s="9">
        <v>2000</v>
      </c>
    </row>
    <row r="18" spans="2:4">
      <c r="B18" s="10" t="s">
        <v>74</v>
      </c>
      <c r="C18" s="4" t="s">
        <v>75</v>
      </c>
      <c r="D18" s="11">
        <v>907.18470000000002</v>
      </c>
    </row>
    <row r="19" spans="2:4">
      <c r="B19" t="s">
        <v>76</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EF18B-DFD7-4C18-BFF3-B3D9403278DC}">
  <dimension ref="A1:I35"/>
  <sheetViews>
    <sheetView workbookViewId="0"/>
  </sheetViews>
  <sheetFormatPr baseColWidth="10" defaultColWidth="8.83203125" defaultRowHeight="15"/>
  <cols>
    <col min="5" max="5" width="13.33203125" customWidth="1"/>
    <col min="6" max="6" width="28.6640625" customWidth="1"/>
    <col min="7" max="7" width="40.83203125" customWidth="1"/>
    <col min="9" max="9" width="22.5" customWidth="1"/>
  </cols>
  <sheetData>
    <row r="1" spans="1:9">
      <c r="A1" t="s">
        <v>482</v>
      </c>
    </row>
    <row r="2" spans="1:9">
      <c r="A2" s="2" t="s">
        <v>77</v>
      </c>
      <c r="G2" s="20" t="s">
        <v>78</v>
      </c>
      <c r="H2" t="s">
        <v>79</v>
      </c>
    </row>
    <row r="3" spans="1:9">
      <c r="A3" s="47"/>
      <c r="B3" s="48" t="s">
        <v>3</v>
      </c>
      <c r="C3" s="48" t="s">
        <v>80</v>
      </c>
      <c r="D3" s="48" t="s">
        <v>4</v>
      </c>
      <c r="E3" s="48" t="s">
        <v>81</v>
      </c>
      <c r="F3" s="48" t="s">
        <v>82</v>
      </c>
      <c r="G3" s="57" t="s">
        <v>83</v>
      </c>
    </row>
    <row r="4" spans="1:9">
      <c r="A4" s="8" t="s">
        <v>18</v>
      </c>
      <c r="B4">
        <v>55.66</v>
      </c>
      <c r="C4">
        <v>42.06</v>
      </c>
      <c r="D4" t="s">
        <v>84</v>
      </c>
      <c r="E4" s="21">
        <v>80</v>
      </c>
      <c r="F4" t="s">
        <v>85</v>
      </c>
      <c r="G4" s="58">
        <f>B4/100</f>
        <v>0.55659999999999998</v>
      </c>
    </row>
    <row r="5" spans="1:9">
      <c r="A5" s="8" t="s">
        <v>19</v>
      </c>
      <c r="B5">
        <v>12.2</v>
      </c>
      <c r="C5">
        <v>11.44</v>
      </c>
      <c r="D5" t="s">
        <v>84</v>
      </c>
      <c r="E5" s="21">
        <v>40</v>
      </c>
      <c r="F5" t="s">
        <v>85</v>
      </c>
      <c r="G5" s="58">
        <f t="shared" ref="G5:G6" si="0">B5/100</f>
        <v>0.122</v>
      </c>
    </row>
    <row r="6" spans="1:9">
      <c r="A6" s="8" t="s">
        <v>27</v>
      </c>
      <c r="B6">
        <v>3.24</v>
      </c>
      <c r="C6">
        <v>2.06</v>
      </c>
      <c r="D6" t="s">
        <v>84</v>
      </c>
      <c r="E6" s="22">
        <v>10</v>
      </c>
      <c r="F6" t="s">
        <v>85</v>
      </c>
      <c r="G6" s="58">
        <f t="shared" si="0"/>
        <v>3.2400000000000005E-2</v>
      </c>
    </row>
    <row r="7" spans="1:9">
      <c r="A7" s="8" t="s">
        <v>23</v>
      </c>
      <c r="B7" t="s">
        <v>86</v>
      </c>
      <c r="C7" t="s">
        <v>86</v>
      </c>
      <c r="D7" t="s">
        <v>84</v>
      </c>
      <c r="E7" s="21">
        <v>40</v>
      </c>
      <c r="F7" t="s">
        <v>85</v>
      </c>
      <c r="G7" s="58">
        <f>E7/100</f>
        <v>0.4</v>
      </c>
    </row>
    <row r="8" spans="1:9">
      <c r="A8" s="8" t="s">
        <v>20</v>
      </c>
      <c r="B8" t="s">
        <v>86</v>
      </c>
      <c r="C8" t="s">
        <v>86</v>
      </c>
      <c r="D8" t="s">
        <v>84</v>
      </c>
      <c r="E8" s="23">
        <v>20</v>
      </c>
      <c r="F8" t="s">
        <v>85</v>
      </c>
      <c r="G8" s="58">
        <f>E8/100</f>
        <v>0.2</v>
      </c>
    </row>
    <row r="9" spans="1:9">
      <c r="A9" s="8" t="s">
        <v>21</v>
      </c>
      <c r="B9" t="s">
        <v>86</v>
      </c>
      <c r="C9" t="s">
        <v>86</v>
      </c>
      <c r="D9" t="s">
        <v>84</v>
      </c>
      <c r="E9" s="23">
        <v>5</v>
      </c>
      <c r="F9" t="s">
        <v>85</v>
      </c>
      <c r="G9" s="58">
        <f>E9/100</f>
        <v>0.05</v>
      </c>
    </row>
    <row r="10" spans="1:9">
      <c r="A10" s="8" t="s">
        <v>17</v>
      </c>
      <c r="B10" t="s">
        <v>86</v>
      </c>
      <c r="C10" t="s">
        <v>86</v>
      </c>
      <c r="D10" t="s">
        <v>84</v>
      </c>
      <c r="E10" s="59">
        <v>10</v>
      </c>
      <c r="F10" t="s">
        <v>85</v>
      </c>
      <c r="G10" s="62">
        <f>E10/100</f>
        <v>0.1</v>
      </c>
    </row>
    <row r="11" spans="1:9">
      <c r="A11" s="10" t="s">
        <v>87</v>
      </c>
      <c r="B11" s="4" t="s">
        <v>86</v>
      </c>
      <c r="C11" s="4" t="s">
        <v>86</v>
      </c>
      <c r="D11" s="4" t="s">
        <v>84</v>
      </c>
      <c r="E11" s="60">
        <v>5</v>
      </c>
      <c r="F11" s="4" t="s">
        <v>85</v>
      </c>
      <c r="G11" s="61">
        <f>E11/100</f>
        <v>0.05</v>
      </c>
    </row>
    <row r="14" spans="1:9">
      <c r="A14" s="2"/>
    </row>
    <row r="15" spans="1:9">
      <c r="G15" s="35" t="s">
        <v>88</v>
      </c>
      <c r="H15" s="7" t="s">
        <v>4</v>
      </c>
    </row>
    <row r="16" spans="1:9">
      <c r="E16" s="23"/>
      <c r="G16" s="5">
        <f>G10*BiosolidAppl!H13</f>
        <v>0.04</v>
      </c>
      <c r="H16" s="7" t="s">
        <v>84</v>
      </c>
      <c r="I16" t="s">
        <v>89</v>
      </c>
    </row>
    <row r="17" spans="1:9">
      <c r="E17" s="22"/>
      <c r="F17" s="34"/>
      <c r="G17" s="10">
        <f>G16/1000*10^3</f>
        <v>0.04</v>
      </c>
      <c r="H17" s="11" t="s">
        <v>5</v>
      </c>
      <c r="I17" t="s">
        <v>90</v>
      </c>
    </row>
    <row r="18" spans="1:9">
      <c r="E18" s="23"/>
    </row>
    <row r="19" spans="1:9">
      <c r="A19" s="66"/>
      <c r="B19" s="66"/>
      <c r="C19" s="66"/>
      <c r="D19" s="66"/>
      <c r="E19" s="66"/>
      <c r="F19" s="66"/>
    </row>
    <row r="20" spans="1:9">
      <c r="A20" s="12"/>
      <c r="B20" s="24"/>
      <c r="C20" s="24"/>
      <c r="D20" s="24"/>
      <c r="E20" s="24"/>
      <c r="F20" s="24"/>
    </row>
    <row r="21" spans="1:9">
      <c r="A21" s="12"/>
      <c r="B21" s="12"/>
      <c r="C21" s="12"/>
      <c r="D21" s="12"/>
      <c r="E21" s="12"/>
      <c r="F21" s="12"/>
    </row>
    <row r="22" spans="1:9">
      <c r="A22" s="12"/>
      <c r="B22" s="12"/>
      <c r="C22" s="12"/>
      <c r="D22" s="12"/>
      <c r="E22" s="12"/>
      <c r="F22" s="12"/>
    </row>
    <row r="23" spans="1:9">
      <c r="A23" s="12"/>
      <c r="C23" s="12"/>
      <c r="D23" s="12"/>
      <c r="E23" s="12"/>
      <c r="F23" s="12"/>
    </row>
    <row r="24" spans="1:9">
      <c r="A24" s="12"/>
      <c r="B24" s="12"/>
      <c r="C24" s="12"/>
      <c r="D24" s="12"/>
      <c r="E24" s="12"/>
      <c r="F24" s="12"/>
    </row>
    <row r="25" spans="1:9">
      <c r="A25" s="12"/>
      <c r="B25" s="12"/>
      <c r="C25" s="12"/>
      <c r="D25" s="12"/>
      <c r="E25" s="12"/>
      <c r="F25" s="12"/>
    </row>
    <row r="26" spans="1:9">
      <c r="A26" s="12"/>
      <c r="B26" s="12"/>
      <c r="C26" s="12"/>
      <c r="D26" s="12"/>
      <c r="E26" s="12"/>
      <c r="F26" s="12"/>
    </row>
    <row r="27" spans="1:9">
      <c r="A27" s="12"/>
      <c r="B27" s="12"/>
      <c r="C27" s="12"/>
      <c r="D27" s="12"/>
      <c r="E27" s="12"/>
      <c r="F27" s="12"/>
    </row>
    <row r="28" spans="1:9" ht="14.5" customHeight="1">
      <c r="A28" s="66"/>
      <c r="B28" s="66"/>
      <c r="C28" s="66"/>
      <c r="D28" s="66"/>
      <c r="E28" s="66"/>
      <c r="F28" s="66"/>
    </row>
    <row r="29" spans="1:9">
      <c r="A29" s="12"/>
      <c r="B29" s="12"/>
      <c r="C29" s="12"/>
      <c r="D29" s="12"/>
      <c r="E29" s="12"/>
      <c r="F29" s="12"/>
    </row>
    <row r="30" spans="1:9">
      <c r="A30" s="12"/>
      <c r="B30" s="12"/>
      <c r="C30" s="12"/>
      <c r="D30" s="12"/>
      <c r="E30" s="12"/>
      <c r="F30" s="12"/>
    </row>
    <row r="31" spans="1:9">
      <c r="A31" s="12"/>
      <c r="B31" s="12"/>
      <c r="C31" s="12"/>
      <c r="D31" s="12"/>
      <c r="E31" s="12"/>
      <c r="F31" s="12"/>
    </row>
    <row r="32" spans="1:9">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sheetData>
  <mergeCells count="2">
    <mergeCell ref="A28:F28"/>
    <mergeCell ref="A19:F19"/>
  </mergeCells>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F87F-F72C-4B5B-80D0-911C09A3860F}">
  <dimension ref="A1:AD36"/>
  <sheetViews>
    <sheetView workbookViewId="0">
      <selection activeCell="A37" sqref="A37"/>
    </sheetView>
  </sheetViews>
  <sheetFormatPr baseColWidth="10" defaultColWidth="8.83203125" defaultRowHeight="15"/>
  <sheetData>
    <row r="1" spans="1:30">
      <c r="A1" s="68" t="s">
        <v>91</v>
      </c>
      <c r="B1" s="68"/>
      <c r="C1" s="68"/>
      <c r="D1" s="68"/>
      <c r="E1" s="68"/>
      <c r="F1" s="69" t="s">
        <v>92</v>
      </c>
      <c r="G1" s="69"/>
      <c r="H1" s="69"/>
      <c r="I1" s="69"/>
      <c r="J1" s="69"/>
      <c r="K1" s="69"/>
      <c r="L1" s="69"/>
      <c r="M1" s="69"/>
      <c r="N1" s="69"/>
      <c r="O1" s="69"/>
      <c r="P1" s="69"/>
      <c r="Q1" s="69"/>
      <c r="R1" s="69"/>
    </row>
    <row r="2" spans="1:30">
      <c r="A2" s="68"/>
      <c r="B2" s="68"/>
      <c r="C2" s="68"/>
      <c r="D2" s="68"/>
      <c r="E2" s="68"/>
      <c r="F2" s="69"/>
      <c r="G2" s="69"/>
      <c r="H2" s="69"/>
      <c r="I2" s="69"/>
      <c r="J2" s="69"/>
      <c r="K2" s="69"/>
      <c r="L2" s="69"/>
      <c r="M2" s="69"/>
      <c r="N2" s="69"/>
      <c r="O2" s="69"/>
      <c r="P2" s="69"/>
      <c r="Q2" s="69"/>
      <c r="R2" s="69"/>
    </row>
    <row r="3" spans="1:30" ht="16" thickBot="1">
      <c r="A3" s="70"/>
      <c r="B3" s="70"/>
      <c r="C3" s="70"/>
      <c r="D3" s="70"/>
      <c r="E3" s="70"/>
      <c r="F3" s="70"/>
      <c r="G3" s="70"/>
      <c r="H3" s="71" t="s">
        <v>93</v>
      </c>
      <c r="I3" s="71"/>
      <c r="J3" s="71"/>
      <c r="K3" s="71"/>
      <c r="L3" s="71"/>
      <c r="M3" s="71"/>
      <c r="N3" s="71"/>
      <c r="O3" s="71"/>
      <c r="P3" s="71"/>
      <c r="Q3" s="71"/>
      <c r="R3" s="71"/>
      <c r="S3" s="71"/>
      <c r="T3" s="71"/>
      <c r="U3" s="71"/>
      <c r="V3" s="71"/>
      <c r="W3" s="71"/>
      <c r="X3" s="71"/>
      <c r="Y3" s="71"/>
      <c r="Z3" s="71"/>
      <c r="AA3" s="71"/>
      <c r="AB3" s="71"/>
      <c r="AC3" s="71"/>
    </row>
    <row r="4" spans="1:30" ht="49" thickBot="1">
      <c r="A4" s="72"/>
      <c r="B4" s="72"/>
      <c r="C4" s="72"/>
      <c r="D4" s="13" t="s">
        <v>94</v>
      </c>
      <c r="E4" s="13" t="s">
        <v>95</v>
      </c>
      <c r="F4" s="13" t="s">
        <v>12</v>
      </c>
      <c r="G4" s="13" t="s">
        <v>13</v>
      </c>
      <c r="H4" s="14">
        <v>0.01</v>
      </c>
      <c r="I4" s="14">
        <v>0.05</v>
      </c>
      <c r="J4" s="14">
        <v>0.1</v>
      </c>
      <c r="K4" s="14">
        <v>0.15</v>
      </c>
      <c r="L4" s="14">
        <v>0.2</v>
      </c>
      <c r="M4" s="14">
        <v>0.25</v>
      </c>
      <c r="N4" s="14">
        <v>0.3</v>
      </c>
      <c r="O4" s="14">
        <v>0.35</v>
      </c>
      <c r="P4" s="14">
        <v>0.4</v>
      </c>
      <c r="Q4" s="14">
        <v>0.45</v>
      </c>
      <c r="R4" s="14">
        <v>0.5</v>
      </c>
      <c r="S4" s="14">
        <v>0.55000000000000004</v>
      </c>
      <c r="T4" s="14">
        <v>0.6</v>
      </c>
      <c r="U4" s="14">
        <v>0.65</v>
      </c>
      <c r="V4" s="14">
        <v>0.7</v>
      </c>
      <c r="W4" s="14">
        <v>0.75</v>
      </c>
      <c r="X4" s="14">
        <v>0.8</v>
      </c>
      <c r="Y4" s="14">
        <v>0.85</v>
      </c>
      <c r="Z4" s="14">
        <v>0.9</v>
      </c>
      <c r="AA4" s="14">
        <v>0.95</v>
      </c>
      <c r="AB4" s="15">
        <v>0.97499999999999998</v>
      </c>
      <c r="AC4" s="14">
        <v>0.99</v>
      </c>
      <c r="AD4" s="13" t="s">
        <v>14</v>
      </c>
    </row>
    <row r="5" spans="1:30" ht="16" thickBot="1">
      <c r="A5" s="67" t="s">
        <v>96</v>
      </c>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row>
    <row r="6" spans="1:30" ht="32">
      <c r="A6" s="13" t="s">
        <v>97</v>
      </c>
      <c r="B6" s="13" t="s">
        <v>98</v>
      </c>
      <c r="C6" s="13" t="s">
        <v>99</v>
      </c>
    </row>
    <row r="7" spans="1:30" ht="18">
      <c r="A7" s="12" t="s">
        <v>100</v>
      </c>
      <c r="B7" s="12" t="s">
        <v>101</v>
      </c>
      <c r="C7" s="16" t="s">
        <v>101</v>
      </c>
      <c r="D7" s="17">
        <v>24673</v>
      </c>
      <c r="E7" s="16">
        <v>100</v>
      </c>
      <c r="F7" s="65">
        <v>0.55000000000000004</v>
      </c>
      <c r="G7" s="16">
        <v>0.01</v>
      </c>
      <c r="H7" s="16" t="s">
        <v>102</v>
      </c>
      <c r="I7" s="16">
        <v>0.1</v>
      </c>
      <c r="J7" s="16">
        <v>0.1</v>
      </c>
      <c r="K7" s="16">
        <v>0.2</v>
      </c>
      <c r="L7" s="16">
        <v>0.2</v>
      </c>
      <c r="M7" s="16">
        <v>0.2</v>
      </c>
      <c r="N7" s="16">
        <v>0.2</v>
      </c>
      <c r="O7" s="16">
        <v>0.3</v>
      </c>
      <c r="P7" s="16">
        <v>0.3</v>
      </c>
      <c r="Q7" s="16">
        <v>0.3</v>
      </c>
      <c r="R7" s="16">
        <v>0.3</v>
      </c>
      <c r="S7" s="16">
        <v>0.4</v>
      </c>
      <c r="T7" s="16">
        <v>0.4</v>
      </c>
      <c r="U7" s="16">
        <v>0.4</v>
      </c>
      <c r="V7" s="16">
        <v>0.5</v>
      </c>
      <c r="W7" s="16">
        <v>0.6</v>
      </c>
      <c r="X7" s="16">
        <v>0.6</v>
      </c>
      <c r="Y7" s="16">
        <v>0.8</v>
      </c>
      <c r="Z7" s="16">
        <v>1</v>
      </c>
      <c r="AA7" s="16">
        <v>1.4</v>
      </c>
      <c r="AB7" s="16">
        <v>2</v>
      </c>
      <c r="AC7" s="16">
        <v>3.4</v>
      </c>
      <c r="AD7" s="12" t="s">
        <v>103</v>
      </c>
    </row>
    <row r="8" spans="1:30" ht="32">
      <c r="A8" s="12" t="s">
        <v>104</v>
      </c>
      <c r="B8" s="12" t="s">
        <v>101</v>
      </c>
      <c r="C8" s="16" t="s">
        <v>101</v>
      </c>
      <c r="D8" s="16">
        <v>87</v>
      </c>
      <c r="E8" s="16">
        <v>75</v>
      </c>
      <c r="F8" s="16">
        <v>1.57</v>
      </c>
      <c r="G8" s="16">
        <v>0.42</v>
      </c>
      <c r="H8" s="16" t="s">
        <v>105</v>
      </c>
      <c r="I8" s="16" t="s">
        <v>105</v>
      </c>
      <c r="J8" s="16" t="s">
        <v>105</v>
      </c>
      <c r="K8" s="16" t="s">
        <v>105</v>
      </c>
      <c r="L8" s="16" t="s">
        <v>105</v>
      </c>
      <c r="M8" s="16">
        <v>0</v>
      </c>
      <c r="N8" s="16">
        <v>0.3</v>
      </c>
      <c r="O8" s="16">
        <v>0.6</v>
      </c>
      <c r="P8" s="16">
        <v>1</v>
      </c>
      <c r="Q8" s="16">
        <v>1.1000000000000001</v>
      </c>
      <c r="R8" s="16">
        <v>1.2</v>
      </c>
      <c r="S8" s="16">
        <v>1.4</v>
      </c>
      <c r="T8" s="16">
        <v>1.5</v>
      </c>
      <c r="U8" s="16">
        <v>1.7</v>
      </c>
      <c r="V8" s="16">
        <v>1.8</v>
      </c>
      <c r="W8" s="16">
        <v>1.9</v>
      </c>
      <c r="X8" s="16" t="s">
        <v>106</v>
      </c>
      <c r="Y8" s="16" t="s">
        <v>107</v>
      </c>
      <c r="Z8" s="16" t="s">
        <v>108</v>
      </c>
      <c r="AA8" s="16" t="s">
        <v>109</v>
      </c>
      <c r="AB8" s="16" t="s">
        <v>109</v>
      </c>
      <c r="AC8" s="16" t="s">
        <v>109</v>
      </c>
      <c r="AD8" s="12" t="s">
        <v>109</v>
      </c>
    </row>
    <row r="9" spans="1:30" ht="32">
      <c r="A9" s="12" t="s">
        <v>110</v>
      </c>
      <c r="B9" s="12" t="s">
        <v>101</v>
      </c>
      <c r="C9" s="16" t="s">
        <v>101</v>
      </c>
      <c r="D9" s="16">
        <v>233</v>
      </c>
      <c r="E9" s="16">
        <v>74</v>
      </c>
      <c r="F9" s="16">
        <v>1.29</v>
      </c>
      <c r="G9" s="16">
        <v>0.12</v>
      </c>
      <c r="H9" s="16" t="s">
        <v>105</v>
      </c>
      <c r="I9" s="16" t="s">
        <v>105</v>
      </c>
      <c r="J9" s="16">
        <v>0</v>
      </c>
      <c r="K9" s="16">
        <v>0</v>
      </c>
      <c r="L9" s="16">
        <v>0</v>
      </c>
      <c r="M9" s="16">
        <v>0</v>
      </c>
      <c r="N9" s="16">
        <v>0.2</v>
      </c>
      <c r="O9" s="16">
        <v>0.7</v>
      </c>
      <c r="P9" s="16">
        <v>0.9</v>
      </c>
      <c r="Q9" s="16">
        <v>1</v>
      </c>
      <c r="R9" s="16">
        <v>1</v>
      </c>
      <c r="S9" s="16">
        <v>1.2</v>
      </c>
      <c r="T9" s="16">
        <v>1.3</v>
      </c>
      <c r="U9" s="16">
        <v>1.4</v>
      </c>
      <c r="V9" s="16">
        <v>1.6</v>
      </c>
      <c r="W9" s="16">
        <v>1.7</v>
      </c>
      <c r="X9" s="16">
        <v>2</v>
      </c>
      <c r="Y9" s="16">
        <v>2.1</v>
      </c>
      <c r="Z9" s="16">
        <v>2.9</v>
      </c>
      <c r="AA9" s="16" t="s">
        <v>111</v>
      </c>
      <c r="AB9" s="16" t="s">
        <v>112</v>
      </c>
      <c r="AC9" s="16" t="s">
        <v>112</v>
      </c>
      <c r="AD9" s="12" t="s">
        <v>113</v>
      </c>
    </row>
    <row r="10" spans="1:30" ht="32">
      <c r="A10" s="12" t="s">
        <v>114</v>
      </c>
      <c r="B10" s="12" t="s">
        <v>101</v>
      </c>
      <c r="C10" s="16" t="s">
        <v>101</v>
      </c>
      <c r="D10" s="16">
        <v>282</v>
      </c>
      <c r="E10" s="16">
        <v>83</v>
      </c>
      <c r="F10" s="16">
        <v>1.0900000000000001</v>
      </c>
      <c r="G10" s="16">
        <v>0.09</v>
      </c>
      <c r="H10" s="16" t="s">
        <v>105</v>
      </c>
      <c r="I10" s="16" t="s">
        <v>105</v>
      </c>
      <c r="J10" s="16">
        <v>0</v>
      </c>
      <c r="K10" s="16">
        <v>0</v>
      </c>
      <c r="L10" s="16">
        <v>0.1</v>
      </c>
      <c r="M10" s="16">
        <v>0.3</v>
      </c>
      <c r="N10" s="16">
        <v>0.6</v>
      </c>
      <c r="O10" s="16">
        <v>0.7</v>
      </c>
      <c r="P10" s="16">
        <v>0.7</v>
      </c>
      <c r="Q10" s="16">
        <v>0.8</v>
      </c>
      <c r="R10" s="16">
        <v>0.9</v>
      </c>
      <c r="S10" s="16">
        <v>0.9</v>
      </c>
      <c r="T10" s="16">
        <v>1.1000000000000001</v>
      </c>
      <c r="U10" s="16">
        <v>1.2</v>
      </c>
      <c r="V10" s="16">
        <v>1.3</v>
      </c>
      <c r="W10" s="16">
        <v>1.4</v>
      </c>
      <c r="X10" s="16">
        <v>1.6</v>
      </c>
      <c r="Y10" s="16">
        <v>1.9</v>
      </c>
      <c r="Z10" s="16">
        <v>2.7</v>
      </c>
      <c r="AA10" s="16" t="s">
        <v>115</v>
      </c>
      <c r="AB10" s="16" t="s">
        <v>116</v>
      </c>
      <c r="AC10" s="16" t="s">
        <v>117</v>
      </c>
      <c r="AD10" s="12" t="s">
        <v>118</v>
      </c>
    </row>
    <row r="11" spans="1:30" ht="32">
      <c r="A11" s="12" t="s">
        <v>119</v>
      </c>
      <c r="B11" s="12" t="s">
        <v>101</v>
      </c>
      <c r="C11" s="16" t="s">
        <v>101</v>
      </c>
      <c r="D11" s="16">
        <v>588</v>
      </c>
      <c r="E11" s="16">
        <v>96</v>
      </c>
      <c r="F11" s="16">
        <v>1.31</v>
      </c>
      <c r="G11" s="16">
        <v>0.16</v>
      </c>
      <c r="H11" s="16" t="s">
        <v>105</v>
      </c>
      <c r="I11" s="16" t="s">
        <v>102</v>
      </c>
      <c r="J11" s="16">
        <v>0.1</v>
      </c>
      <c r="K11" s="16">
        <v>0.2</v>
      </c>
      <c r="L11" s="16">
        <v>0.4</v>
      </c>
      <c r="M11" s="16">
        <v>0.5</v>
      </c>
      <c r="N11" s="16">
        <v>0.6</v>
      </c>
      <c r="O11" s="16">
        <v>0.6</v>
      </c>
      <c r="P11" s="16">
        <v>0.7</v>
      </c>
      <c r="Q11" s="16">
        <v>0.8</v>
      </c>
      <c r="R11" s="16">
        <v>0.8</v>
      </c>
      <c r="S11" s="16">
        <v>0.9</v>
      </c>
      <c r="T11" s="16">
        <v>1</v>
      </c>
      <c r="U11" s="16">
        <v>1.1000000000000001</v>
      </c>
      <c r="V11" s="16">
        <v>1.1000000000000001</v>
      </c>
      <c r="W11" s="16">
        <v>1.3</v>
      </c>
      <c r="X11" s="16">
        <v>1.4</v>
      </c>
      <c r="Y11" s="16">
        <v>1.8</v>
      </c>
      <c r="Z11" s="16">
        <v>2.2999999999999998</v>
      </c>
      <c r="AA11" s="16">
        <v>3.1</v>
      </c>
      <c r="AB11" s="16" t="s">
        <v>116</v>
      </c>
      <c r="AC11" s="16" t="s">
        <v>120</v>
      </c>
      <c r="AD11" s="12" t="s">
        <v>121</v>
      </c>
    </row>
    <row r="12" spans="1:30" ht="32">
      <c r="A12" s="12" t="s">
        <v>122</v>
      </c>
      <c r="B12" s="12" t="s">
        <v>101</v>
      </c>
      <c r="C12" s="16" t="s">
        <v>101</v>
      </c>
      <c r="D12" s="16">
        <v>728</v>
      </c>
      <c r="E12" s="16">
        <v>100</v>
      </c>
      <c r="F12" s="16">
        <v>2.59</v>
      </c>
      <c r="G12" s="16">
        <v>0.73</v>
      </c>
      <c r="H12" s="16" t="s">
        <v>123</v>
      </c>
      <c r="I12" s="16">
        <v>0.2</v>
      </c>
      <c r="J12" s="16">
        <v>0.3</v>
      </c>
      <c r="K12" s="16">
        <v>0.4</v>
      </c>
      <c r="L12" s="16">
        <v>0.4</v>
      </c>
      <c r="M12" s="16">
        <v>0.5</v>
      </c>
      <c r="N12" s="16">
        <v>0.6</v>
      </c>
      <c r="O12" s="16">
        <v>0.6</v>
      </c>
      <c r="P12" s="16">
        <v>0.7</v>
      </c>
      <c r="Q12" s="16">
        <v>0.8</v>
      </c>
      <c r="R12" s="16">
        <v>0.8</v>
      </c>
      <c r="S12" s="16">
        <v>0.9</v>
      </c>
      <c r="T12" s="16">
        <v>0.9</v>
      </c>
      <c r="U12" s="16">
        <v>1</v>
      </c>
      <c r="V12" s="16">
        <v>1.2</v>
      </c>
      <c r="W12" s="16">
        <v>1.2</v>
      </c>
      <c r="X12" s="16">
        <v>1.4</v>
      </c>
      <c r="Y12" s="16">
        <v>1.6</v>
      </c>
      <c r="Z12" s="16">
        <v>2</v>
      </c>
      <c r="AA12" s="16">
        <v>2.7</v>
      </c>
      <c r="AB12" s="16" t="s">
        <v>124</v>
      </c>
      <c r="AC12" s="16" t="s">
        <v>125</v>
      </c>
      <c r="AD12" s="12" t="s">
        <v>103</v>
      </c>
    </row>
    <row r="13" spans="1:30" ht="32">
      <c r="A13" s="12" t="s">
        <v>126</v>
      </c>
      <c r="B13" s="12" t="s">
        <v>101</v>
      </c>
      <c r="C13" s="16" t="s">
        <v>101</v>
      </c>
      <c r="D13" s="16">
        <v>751</v>
      </c>
      <c r="E13" s="16">
        <v>100</v>
      </c>
      <c r="F13" s="16">
        <v>1.41</v>
      </c>
      <c r="G13" s="16">
        <v>0.18</v>
      </c>
      <c r="H13" s="16" t="s">
        <v>123</v>
      </c>
      <c r="I13" s="16">
        <v>0.3</v>
      </c>
      <c r="J13" s="16">
        <v>0.4</v>
      </c>
      <c r="K13" s="16">
        <v>0.4</v>
      </c>
      <c r="L13" s="16">
        <v>0.5</v>
      </c>
      <c r="M13" s="16">
        <v>0.6</v>
      </c>
      <c r="N13" s="16">
        <v>0.7</v>
      </c>
      <c r="O13" s="16">
        <v>0.7</v>
      </c>
      <c r="P13" s="16">
        <v>0.8</v>
      </c>
      <c r="Q13" s="16">
        <v>0.8</v>
      </c>
      <c r="R13" s="16">
        <v>0.9</v>
      </c>
      <c r="S13" s="16">
        <v>1</v>
      </c>
      <c r="T13" s="16">
        <v>1.1000000000000001</v>
      </c>
      <c r="U13" s="16">
        <v>1.2</v>
      </c>
      <c r="V13" s="16">
        <v>1.2</v>
      </c>
      <c r="W13" s="16">
        <v>1.3</v>
      </c>
      <c r="X13" s="16">
        <v>1.4</v>
      </c>
      <c r="Y13" s="16">
        <v>1.6</v>
      </c>
      <c r="Z13" s="16">
        <v>1.8</v>
      </c>
      <c r="AA13" s="16">
        <v>2.2000000000000002</v>
      </c>
      <c r="AB13" s="16" t="s">
        <v>127</v>
      </c>
      <c r="AC13" s="16" t="s">
        <v>128</v>
      </c>
      <c r="AD13" s="12" t="s">
        <v>129</v>
      </c>
    </row>
    <row r="14" spans="1:30" ht="32">
      <c r="A14" s="12" t="s">
        <v>130</v>
      </c>
      <c r="B14" s="12" t="s">
        <v>101</v>
      </c>
      <c r="C14" s="16" t="s">
        <v>101</v>
      </c>
      <c r="D14" s="17">
        <v>1418</v>
      </c>
      <c r="E14" s="16">
        <v>100</v>
      </c>
      <c r="F14" s="16">
        <v>1.31</v>
      </c>
      <c r="G14" s="16">
        <v>0.11</v>
      </c>
      <c r="H14" s="16" t="s">
        <v>131</v>
      </c>
      <c r="I14" s="16">
        <v>0.3</v>
      </c>
      <c r="J14" s="16">
        <v>0.4</v>
      </c>
      <c r="K14" s="16">
        <v>0.5</v>
      </c>
      <c r="L14" s="16">
        <v>0.6</v>
      </c>
      <c r="M14" s="16">
        <v>0.6</v>
      </c>
      <c r="N14" s="16">
        <v>0.7</v>
      </c>
      <c r="O14" s="16">
        <v>0.7</v>
      </c>
      <c r="P14" s="16">
        <v>0.8</v>
      </c>
      <c r="Q14" s="16">
        <v>0.9</v>
      </c>
      <c r="R14" s="16">
        <v>0.9</v>
      </c>
      <c r="S14" s="16">
        <v>1</v>
      </c>
      <c r="T14" s="16">
        <v>1</v>
      </c>
      <c r="U14" s="16">
        <v>1.1000000000000001</v>
      </c>
      <c r="V14" s="16">
        <v>1.2</v>
      </c>
      <c r="W14" s="16">
        <v>1.3</v>
      </c>
      <c r="X14" s="16">
        <v>1.4</v>
      </c>
      <c r="Y14" s="16">
        <v>1.5</v>
      </c>
      <c r="Z14" s="16">
        <v>1.8</v>
      </c>
      <c r="AA14" s="16">
        <v>2.2999999999999998</v>
      </c>
      <c r="AB14" s="16">
        <v>5.4</v>
      </c>
      <c r="AC14" s="16" t="s">
        <v>132</v>
      </c>
      <c r="AD14" s="12" t="s">
        <v>133</v>
      </c>
    </row>
    <row r="15" spans="1:30" ht="32">
      <c r="A15" s="12" t="s">
        <v>134</v>
      </c>
      <c r="B15" s="12" t="s">
        <v>101</v>
      </c>
      <c r="C15" s="16" t="s">
        <v>101</v>
      </c>
      <c r="D15" s="17">
        <v>2292</v>
      </c>
      <c r="E15" s="16">
        <v>100</v>
      </c>
      <c r="F15" s="16">
        <v>0.92</v>
      </c>
      <c r="G15" s="16">
        <v>0.05</v>
      </c>
      <c r="H15" s="16">
        <v>0.1</v>
      </c>
      <c r="I15" s="16">
        <v>0.2</v>
      </c>
      <c r="J15" s="16">
        <v>0.3</v>
      </c>
      <c r="K15" s="16">
        <v>0.4</v>
      </c>
      <c r="L15" s="16">
        <v>0.4</v>
      </c>
      <c r="M15" s="16">
        <v>0.5</v>
      </c>
      <c r="N15" s="16">
        <v>0.5</v>
      </c>
      <c r="O15" s="16">
        <v>0.6</v>
      </c>
      <c r="P15" s="16">
        <v>0.6</v>
      </c>
      <c r="Q15" s="16">
        <v>0.6</v>
      </c>
      <c r="R15" s="16">
        <v>0.7</v>
      </c>
      <c r="S15" s="16">
        <v>0.8</v>
      </c>
      <c r="T15" s="16">
        <v>0.8</v>
      </c>
      <c r="U15" s="16">
        <v>0.9</v>
      </c>
      <c r="V15" s="16">
        <v>0.9</v>
      </c>
      <c r="W15" s="16">
        <v>1</v>
      </c>
      <c r="X15" s="16">
        <v>1.1000000000000001</v>
      </c>
      <c r="Y15" s="16">
        <v>1.3</v>
      </c>
      <c r="Z15" s="16">
        <v>1.4</v>
      </c>
      <c r="AA15" s="16">
        <v>1.7</v>
      </c>
      <c r="AB15" s="16">
        <v>2.2000000000000002</v>
      </c>
      <c r="AC15" s="16">
        <v>5.2</v>
      </c>
      <c r="AD15" s="12" t="s">
        <v>135</v>
      </c>
    </row>
    <row r="16" spans="1:30" ht="32">
      <c r="A16" s="12" t="s">
        <v>136</v>
      </c>
      <c r="B16" s="12" t="s">
        <v>101</v>
      </c>
      <c r="C16" s="16" t="s">
        <v>101</v>
      </c>
      <c r="D16" s="17">
        <v>2551</v>
      </c>
      <c r="E16" s="16">
        <v>100</v>
      </c>
      <c r="F16" s="16">
        <v>0.48</v>
      </c>
      <c r="G16" s="16">
        <v>0.01</v>
      </c>
      <c r="H16" s="16" t="s">
        <v>102</v>
      </c>
      <c r="I16" s="16">
        <v>0.1</v>
      </c>
      <c r="J16" s="16">
        <v>0.2</v>
      </c>
      <c r="K16" s="16">
        <v>0.2</v>
      </c>
      <c r="L16" s="16">
        <v>0.2</v>
      </c>
      <c r="M16" s="16">
        <v>0.3</v>
      </c>
      <c r="N16" s="16">
        <v>0.3</v>
      </c>
      <c r="O16" s="16">
        <v>0.3</v>
      </c>
      <c r="P16" s="16">
        <v>0.3</v>
      </c>
      <c r="Q16" s="16">
        <v>0.4</v>
      </c>
      <c r="R16" s="16">
        <v>0.4</v>
      </c>
      <c r="S16" s="16">
        <v>0.4</v>
      </c>
      <c r="T16" s="16">
        <v>0.5</v>
      </c>
      <c r="U16" s="16">
        <v>0.5</v>
      </c>
      <c r="V16" s="16">
        <v>0.5</v>
      </c>
      <c r="W16" s="16">
        <v>0.6</v>
      </c>
      <c r="X16" s="16">
        <v>0.7</v>
      </c>
      <c r="Y16" s="16">
        <v>0.7</v>
      </c>
      <c r="Z16" s="16">
        <v>0.9</v>
      </c>
      <c r="AA16" s="16">
        <v>1.1000000000000001</v>
      </c>
      <c r="AB16" s="16">
        <v>1.3</v>
      </c>
      <c r="AC16" s="16">
        <v>1.6</v>
      </c>
      <c r="AD16" s="12" t="s">
        <v>137</v>
      </c>
    </row>
    <row r="17" spans="1:30" ht="32">
      <c r="A17" s="12" t="s">
        <v>138</v>
      </c>
      <c r="B17" s="12" t="s">
        <v>101</v>
      </c>
      <c r="C17" s="16" t="s">
        <v>101</v>
      </c>
      <c r="D17" s="17">
        <v>2191</v>
      </c>
      <c r="E17" s="16">
        <v>100</v>
      </c>
      <c r="F17" s="16">
        <v>0.46</v>
      </c>
      <c r="G17" s="16">
        <v>0.01</v>
      </c>
      <c r="H17" s="16">
        <v>0.1</v>
      </c>
      <c r="I17" s="16">
        <v>0.1</v>
      </c>
      <c r="J17" s="16">
        <v>0.1</v>
      </c>
      <c r="K17" s="16">
        <v>0.2</v>
      </c>
      <c r="L17" s="16">
        <v>0.2</v>
      </c>
      <c r="M17" s="16">
        <v>0.2</v>
      </c>
      <c r="N17" s="16">
        <v>0.2</v>
      </c>
      <c r="O17" s="16">
        <v>0.3</v>
      </c>
      <c r="P17" s="16">
        <v>0.3</v>
      </c>
      <c r="Q17" s="16">
        <v>0.3</v>
      </c>
      <c r="R17" s="16">
        <v>0.4</v>
      </c>
      <c r="S17" s="16">
        <v>0.4</v>
      </c>
      <c r="T17" s="16">
        <v>0.4</v>
      </c>
      <c r="U17" s="16">
        <v>0.5</v>
      </c>
      <c r="V17" s="16">
        <v>0.5</v>
      </c>
      <c r="W17" s="16">
        <v>0.6</v>
      </c>
      <c r="X17" s="16">
        <v>0.6</v>
      </c>
      <c r="Y17" s="16">
        <v>0.7</v>
      </c>
      <c r="Z17" s="16">
        <v>0.8</v>
      </c>
      <c r="AA17" s="16">
        <v>1.1000000000000001</v>
      </c>
      <c r="AB17" s="16">
        <v>1.3</v>
      </c>
      <c r="AC17" s="16">
        <v>1.9</v>
      </c>
      <c r="AD17" s="12" t="s">
        <v>139</v>
      </c>
    </row>
    <row r="18" spans="1:30" ht="32">
      <c r="A18" s="12" t="s">
        <v>140</v>
      </c>
      <c r="B18" s="12" t="s">
        <v>101</v>
      </c>
      <c r="C18" s="16" t="s">
        <v>101</v>
      </c>
      <c r="D18" s="17">
        <v>2082</v>
      </c>
      <c r="E18" s="16">
        <v>100</v>
      </c>
      <c r="F18" s="16">
        <v>0.45</v>
      </c>
      <c r="G18" s="16">
        <v>0.03</v>
      </c>
      <c r="H18" s="16" t="s">
        <v>102</v>
      </c>
      <c r="I18" s="16">
        <v>0.1</v>
      </c>
      <c r="J18" s="16">
        <v>0.1</v>
      </c>
      <c r="K18" s="16">
        <v>0.1</v>
      </c>
      <c r="L18" s="16">
        <v>0.2</v>
      </c>
      <c r="M18" s="16">
        <v>0.2</v>
      </c>
      <c r="N18" s="16">
        <v>0.2</v>
      </c>
      <c r="O18" s="16">
        <v>0.3</v>
      </c>
      <c r="P18" s="16">
        <v>0.3</v>
      </c>
      <c r="Q18" s="16">
        <v>0.3</v>
      </c>
      <c r="R18" s="16">
        <v>0.3</v>
      </c>
      <c r="S18" s="16">
        <v>0.3</v>
      </c>
      <c r="T18" s="16">
        <v>0.4</v>
      </c>
      <c r="U18" s="16">
        <v>0.4</v>
      </c>
      <c r="V18" s="16">
        <v>0.5</v>
      </c>
      <c r="W18" s="16">
        <v>0.5</v>
      </c>
      <c r="X18" s="16">
        <v>0.6</v>
      </c>
      <c r="Y18" s="16">
        <v>0.6</v>
      </c>
      <c r="Z18" s="16">
        <v>0.8</v>
      </c>
      <c r="AA18" s="16">
        <v>1.1000000000000001</v>
      </c>
      <c r="AB18" s="16">
        <v>1.9</v>
      </c>
      <c r="AC18" s="16">
        <v>3.2</v>
      </c>
      <c r="AD18" s="12" t="s">
        <v>109</v>
      </c>
    </row>
    <row r="19" spans="1:30" ht="32">
      <c r="A19" s="12" t="s">
        <v>141</v>
      </c>
      <c r="B19" s="12" t="s">
        <v>101</v>
      </c>
      <c r="C19" s="16" t="s">
        <v>101</v>
      </c>
      <c r="D19" s="17">
        <v>2282</v>
      </c>
      <c r="E19" s="16">
        <v>100</v>
      </c>
      <c r="F19" s="16">
        <v>0.45</v>
      </c>
      <c r="G19" s="16">
        <v>0.02</v>
      </c>
      <c r="H19" s="16" t="s">
        <v>102</v>
      </c>
      <c r="I19" s="16">
        <v>0.1</v>
      </c>
      <c r="J19" s="16">
        <v>0.1</v>
      </c>
      <c r="K19" s="16">
        <v>0.2</v>
      </c>
      <c r="L19" s="16">
        <v>0.2</v>
      </c>
      <c r="M19" s="16">
        <v>0.2</v>
      </c>
      <c r="N19" s="16">
        <v>0.2</v>
      </c>
      <c r="O19" s="16">
        <v>0.2</v>
      </c>
      <c r="P19" s="16">
        <v>0.3</v>
      </c>
      <c r="Q19" s="16">
        <v>0.3</v>
      </c>
      <c r="R19" s="16">
        <v>0.3</v>
      </c>
      <c r="S19" s="16">
        <v>0.3</v>
      </c>
      <c r="T19" s="16">
        <v>0.4</v>
      </c>
      <c r="U19" s="16">
        <v>0.4</v>
      </c>
      <c r="V19" s="16">
        <v>0.4</v>
      </c>
      <c r="W19" s="16">
        <v>0.5</v>
      </c>
      <c r="X19" s="16">
        <v>0.5</v>
      </c>
      <c r="Y19" s="16">
        <v>0.6</v>
      </c>
      <c r="Z19" s="16">
        <v>0.7</v>
      </c>
      <c r="AA19" s="16">
        <v>1.1000000000000001</v>
      </c>
      <c r="AB19" s="16">
        <v>2</v>
      </c>
      <c r="AC19" s="16">
        <v>4.5</v>
      </c>
      <c r="AD19" s="12" t="s">
        <v>142</v>
      </c>
    </row>
    <row r="20" spans="1:30" ht="32">
      <c r="A20" s="12" t="s">
        <v>143</v>
      </c>
      <c r="B20" s="12" t="s">
        <v>101</v>
      </c>
      <c r="C20" s="16" t="s">
        <v>101</v>
      </c>
      <c r="D20" s="17">
        <v>2378</v>
      </c>
      <c r="E20" s="16">
        <v>100</v>
      </c>
      <c r="F20" s="16">
        <v>0.4</v>
      </c>
      <c r="G20" s="16">
        <v>0.01</v>
      </c>
      <c r="H20" s="16" t="s">
        <v>102</v>
      </c>
      <c r="I20" s="16">
        <v>0.1</v>
      </c>
      <c r="J20" s="16">
        <v>0.1</v>
      </c>
      <c r="K20" s="16">
        <v>0.1</v>
      </c>
      <c r="L20" s="16">
        <v>0.2</v>
      </c>
      <c r="M20" s="16">
        <v>0.2</v>
      </c>
      <c r="N20" s="16">
        <v>0.2</v>
      </c>
      <c r="O20" s="16">
        <v>0.2</v>
      </c>
      <c r="P20" s="16">
        <v>0.3</v>
      </c>
      <c r="Q20" s="16">
        <v>0.3</v>
      </c>
      <c r="R20" s="16">
        <v>0.3</v>
      </c>
      <c r="S20" s="16">
        <v>0.3</v>
      </c>
      <c r="T20" s="16">
        <v>0.3</v>
      </c>
      <c r="U20" s="16">
        <v>0.4</v>
      </c>
      <c r="V20" s="16">
        <v>0.4</v>
      </c>
      <c r="W20" s="16">
        <v>0.4</v>
      </c>
      <c r="X20" s="16">
        <v>0.5</v>
      </c>
      <c r="Y20" s="16">
        <v>0.6</v>
      </c>
      <c r="Z20" s="16">
        <v>0.7</v>
      </c>
      <c r="AA20" s="16">
        <v>0.9</v>
      </c>
      <c r="AB20" s="16">
        <v>1.3</v>
      </c>
      <c r="AC20" s="16">
        <v>2.2000000000000002</v>
      </c>
      <c r="AD20" s="12" t="s">
        <v>144</v>
      </c>
    </row>
    <row r="21" spans="1:30" ht="32">
      <c r="A21" s="12" t="s">
        <v>145</v>
      </c>
      <c r="B21" s="12" t="s">
        <v>101</v>
      </c>
      <c r="C21" s="16" t="s">
        <v>101</v>
      </c>
      <c r="D21" s="17">
        <v>2103</v>
      </c>
      <c r="E21" s="16">
        <v>100</v>
      </c>
      <c r="F21" s="16">
        <v>0.41</v>
      </c>
      <c r="G21" s="16">
        <v>0.02</v>
      </c>
      <c r="H21" s="16" t="s">
        <v>102</v>
      </c>
      <c r="I21" s="16">
        <v>0.1</v>
      </c>
      <c r="J21" s="16">
        <v>0.1</v>
      </c>
      <c r="K21" s="16">
        <v>0.1</v>
      </c>
      <c r="L21" s="16">
        <v>0.2</v>
      </c>
      <c r="M21" s="16">
        <v>0.2</v>
      </c>
      <c r="N21" s="16">
        <v>0.2</v>
      </c>
      <c r="O21" s="16">
        <v>0.2</v>
      </c>
      <c r="P21" s="16">
        <v>0.2</v>
      </c>
      <c r="Q21" s="16">
        <v>0.3</v>
      </c>
      <c r="R21" s="16">
        <v>0.3</v>
      </c>
      <c r="S21" s="16">
        <v>0.3</v>
      </c>
      <c r="T21" s="16">
        <v>0.4</v>
      </c>
      <c r="U21" s="16">
        <v>0.4</v>
      </c>
      <c r="V21" s="16">
        <v>0.4</v>
      </c>
      <c r="W21" s="16">
        <v>0.5</v>
      </c>
      <c r="X21" s="16">
        <v>0.5</v>
      </c>
      <c r="Y21" s="16">
        <v>0.6</v>
      </c>
      <c r="Z21" s="16">
        <v>0.7</v>
      </c>
      <c r="AA21" s="16">
        <v>0.9</v>
      </c>
      <c r="AB21" s="16">
        <v>1.5</v>
      </c>
      <c r="AC21" s="16">
        <v>3.1</v>
      </c>
      <c r="AD21" s="12" t="s">
        <v>146</v>
      </c>
    </row>
    <row r="22" spans="1:30" ht="32">
      <c r="A22" s="12" t="s">
        <v>147</v>
      </c>
      <c r="B22" s="12" t="s">
        <v>101</v>
      </c>
      <c r="C22" s="16" t="s">
        <v>101</v>
      </c>
      <c r="D22" s="17">
        <v>2214</v>
      </c>
      <c r="E22" s="16">
        <v>100</v>
      </c>
      <c r="F22" s="16">
        <v>0.37</v>
      </c>
      <c r="G22" s="16">
        <v>0.02</v>
      </c>
      <c r="H22" s="16" t="s">
        <v>102</v>
      </c>
      <c r="I22" s="16">
        <v>0.1</v>
      </c>
      <c r="J22" s="16">
        <v>0.1</v>
      </c>
      <c r="K22" s="16">
        <v>0.1</v>
      </c>
      <c r="L22" s="16">
        <v>0.2</v>
      </c>
      <c r="M22" s="16">
        <v>0.2</v>
      </c>
      <c r="N22" s="16">
        <v>0.2</v>
      </c>
      <c r="O22" s="16">
        <v>0.2</v>
      </c>
      <c r="P22" s="16">
        <v>0.2</v>
      </c>
      <c r="Q22" s="16">
        <v>0.2</v>
      </c>
      <c r="R22" s="16">
        <v>0.3</v>
      </c>
      <c r="S22" s="16">
        <v>0.3</v>
      </c>
      <c r="T22" s="16">
        <v>0.3</v>
      </c>
      <c r="U22" s="16">
        <v>0.3</v>
      </c>
      <c r="V22" s="16">
        <v>0.4</v>
      </c>
      <c r="W22" s="16">
        <v>0.4</v>
      </c>
      <c r="X22" s="16">
        <v>0.4</v>
      </c>
      <c r="Y22" s="16">
        <v>0.5</v>
      </c>
      <c r="Z22" s="16">
        <v>0.6</v>
      </c>
      <c r="AA22" s="16">
        <v>0.8</v>
      </c>
      <c r="AB22" s="16">
        <v>1.7</v>
      </c>
      <c r="AC22" s="16">
        <v>2.6</v>
      </c>
      <c r="AD22" s="12" t="s">
        <v>148</v>
      </c>
    </row>
    <row r="23" spans="1:30" ht="32">
      <c r="A23" s="12" t="s">
        <v>149</v>
      </c>
      <c r="B23" s="12" t="s">
        <v>101</v>
      </c>
      <c r="C23" s="16" t="s">
        <v>101</v>
      </c>
      <c r="D23" s="17">
        <v>1578</v>
      </c>
      <c r="E23" s="16">
        <v>100</v>
      </c>
      <c r="F23" s="16">
        <v>0.35</v>
      </c>
      <c r="G23" s="16">
        <v>0.02</v>
      </c>
      <c r="H23" s="16" t="s">
        <v>150</v>
      </c>
      <c r="I23" s="16">
        <v>0.1</v>
      </c>
      <c r="J23" s="16">
        <v>0.1</v>
      </c>
      <c r="K23" s="16">
        <v>0.1</v>
      </c>
      <c r="L23" s="16">
        <v>0.1</v>
      </c>
      <c r="M23" s="16">
        <v>0.2</v>
      </c>
      <c r="N23" s="16">
        <v>0.2</v>
      </c>
      <c r="O23" s="16">
        <v>0.2</v>
      </c>
      <c r="P23" s="16">
        <v>0.2</v>
      </c>
      <c r="Q23" s="16">
        <v>0.2</v>
      </c>
      <c r="R23" s="16">
        <v>0.3</v>
      </c>
      <c r="S23" s="16">
        <v>0.3</v>
      </c>
      <c r="T23" s="16">
        <v>0.3</v>
      </c>
      <c r="U23" s="16">
        <v>0.3</v>
      </c>
      <c r="V23" s="16">
        <v>0.4</v>
      </c>
      <c r="W23" s="16">
        <v>0.4</v>
      </c>
      <c r="X23" s="16">
        <v>0.4</v>
      </c>
      <c r="Y23" s="16">
        <v>0.5</v>
      </c>
      <c r="Z23" s="16">
        <v>0.5</v>
      </c>
      <c r="AA23" s="16">
        <v>0.7</v>
      </c>
      <c r="AB23" s="16">
        <v>1</v>
      </c>
      <c r="AC23" s="16" t="s">
        <v>107</v>
      </c>
      <c r="AD23" s="12" t="s">
        <v>151</v>
      </c>
    </row>
    <row r="24" spans="1:30" ht="32">
      <c r="A24" s="12" t="s">
        <v>152</v>
      </c>
      <c r="B24" s="12" t="s">
        <v>101</v>
      </c>
      <c r="C24" s="16" t="s">
        <v>101</v>
      </c>
      <c r="D24" s="16">
        <v>915</v>
      </c>
      <c r="E24" s="16">
        <v>100</v>
      </c>
      <c r="F24" s="16">
        <v>0.36</v>
      </c>
      <c r="G24" s="16">
        <v>0.02</v>
      </c>
      <c r="H24" s="16" t="s">
        <v>150</v>
      </c>
      <c r="I24" s="16">
        <v>0.1</v>
      </c>
      <c r="J24" s="16">
        <v>0.1</v>
      </c>
      <c r="K24" s="16">
        <v>0.1</v>
      </c>
      <c r="L24" s="16">
        <v>0.2</v>
      </c>
      <c r="M24" s="16">
        <v>0.2</v>
      </c>
      <c r="N24" s="16">
        <v>0.2</v>
      </c>
      <c r="O24" s="16">
        <v>0.2</v>
      </c>
      <c r="P24" s="16">
        <v>0.2</v>
      </c>
      <c r="Q24" s="16">
        <v>0.3</v>
      </c>
      <c r="R24" s="16">
        <v>0.3</v>
      </c>
      <c r="S24" s="16">
        <v>0.3</v>
      </c>
      <c r="T24" s="16">
        <v>0.3</v>
      </c>
      <c r="U24" s="16">
        <v>0.3</v>
      </c>
      <c r="V24" s="16">
        <v>0.4</v>
      </c>
      <c r="W24" s="16">
        <v>0.4</v>
      </c>
      <c r="X24" s="16">
        <v>0.4</v>
      </c>
      <c r="Y24" s="16">
        <v>0.5</v>
      </c>
      <c r="Z24" s="16">
        <v>0.6</v>
      </c>
      <c r="AA24" s="16">
        <v>0.7</v>
      </c>
      <c r="AB24" s="16">
        <v>1.2</v>
      </c>
      <c r="AC24" s="16" t="s">
        <v>108</v>
      </c>
      <c r="AD24" s="12" t="s">
        <v>153</v>
      </c>
    </row>
    <row r="25" spans="1:30" ht="32">
      <c r="A25" s="12" t="s">
        <v>154</v>
      </c>
      <c r="B25" s="12" t="s">
        <v>155</v>
      </c>
      <c r="C25" s="16" t="s">
        <v>101</v>
      </c>
      <c r="D25" s="17">
        <v>5543</v>
      </c>
      <c r="E25" s="16">
        <v>100</v>
      </c>
      <c r="F25" s="16">
        <v>0.42</v>
      </c>
      <c r="G25" s="16">
        <v>0.01</v>
      </c>
      <c r="H25" s="16" t="s">
        <v>102</v>
      </c>
      <c r="I25" s="16">
        <v>0.1</v>
      </c>
      <c r="J25" s="16">
        <v>0.1</v>
      </c>
      <c r="K25" s="16">
        <v>0.1</v>
      </c>
      <c r="L25" s="16">
        <v>0.2</v>
      </c>
      <c r="M25" s="16">
        <v>0.2</v>
      </c>
      <c r="N25" s="16">
        <v>0.2</v>
      </c>
      <c r="O25" s="16">
        <v>0.2</v>
      </c>
      <c r="P25" s="16">
        <v>0.3</v>
      </c>
      <c r="Q25" s="16">
        <v>0.3</v>
      </c>
      <c r="R25" s="16">
        <v>0.3</v>
      </c>
      <c r="S25" s="16">
        <v>0.3</v>
      </c>
      <c r="T25" s="16">
        <v>0.4</v>
      </c>
      <c r="U25" s="16">
        <v>0.4</v>
      </c>
      <c r="V25" s="16">
        <v>0.4</v>
      </c>
      <c r="W25" s="16">
        <v>0.5</v>
      </c>
      <c r="X25" s="16">
        <v>0.5</v>
      </c>
      <c r="Y25" s="16">
        <v>0.6</v>
      </c>
      <c r="Z25" s="16">
        <v>0.7</v>
      </c>
      <c r="AA25" s="16">
        <v>1</v>
      </c>
      <c r="AB25" s="16">
        <v>1.7</v>
      </c>
      <c r="AC25" s="16">
        <v>2.9</v>
      </c>
      <c r="AD25" s="12" t="s">
        <v>156</v>
      </c>
    </row>
    <row r="26" spans="1:30" ht="32">
      <c r="A26" s="12" t="s">
        <v>100</v>
      </c>
      <c r="B26" s="12" t="s">
        <v>101</v>
      </c>
      <c r="C26" s="16" t="s">
        <v>157</v>
      </c>
      <c r="D26" s="17">
        <v>5787</v>
      </c>
      <c r="E26" s="16">
        <v>100</v>
      </c>
      <c r="F26" s="16">
        <v>0.52</v>
      </c>
      <c r="G26" s="16">
        <v>0.02</v>
      </c>
      <c r="H26" s="16" t="s">
        <v>102</v>
      </c>
      <c r="I26" s="16">
        <v>0.1</v>
      </c>
      <c r="J26" s="16">
        <v>0.1</v>
      </c>
      <c r="K26" s="16">
        <v>0.1</v>
      </c>
      <c r="L26" s="16">
        <v>0.2</v>
      </c>
      <c r="M26" s="16">
        <v>0.2</v>
      </c>
      <c r="N26" s="16">
        <v>0.2</v>
      </c>
      <c r="O26" s="16">
        <v>0.2</v>
      </c>
      <c r="P26" s="16">
        <v>0.3</v>
      </c>
      <c r="Q26" s="16">
        <v>0.3</v>
      </c>
      <c r="R26" s="16">
        <v>0.3</v>
      </c>
      <c r="S26" s="16">
        <v>0.4</v>
      </c>
      <c r="T26" s="16">
        <v>0.4</v>
      </c>
      <c r="U26" s="16">
        <v>0.4</v>
      </c>
      <c r="V26" s="16">
        <v>0.5</v>
      </c>
      <c r="W26" s="16">
        <v>0.6</v>
      </c>
      <c r="X26" s="16">
        <v>0.7</v>
      </c>
      <c r="Y26" s="16">
        <v>0.8</v>
      </c>
      <c r="Z26" s="16">
        <v>1</v>
      </c>
      <c r="AA26" s="16">
        <v>1.3</v>
      </c>
      <c r="AB26" s="16">
        <v>1.7</v>
      </c>
      <c r="AC26" s="16">
        <v>2.4</v>
      </c>
      <c r="AD26" s="12" t="s">
        <v>158</v>
      </c>
    </row>
    <row r="27" spans="1:30" ht="48">
      <c r="A27" s="12" t="s">
        <v>100</v>
      </c>
      <c r="B27" s="12" t="s">
        <v>101</v>
      </c>
      <c r="C27" s="16" t="s">
        <v>159</v>
      </c>
      <c r="D27" s="17">
        <v>5337</v>
      </c>
      <c r="E27" s="16">
        <v>100</v>
      </c>
      <c r="F27" s="16">
        <v>0.53</v>
      </c>
      <c r="G27" s="16">
        <v>0.02</v>
      </c>
      <c r="H27" s="16" t="s">
        <v>102</v>
      </c>
      <c r="I27" s="16">
        <v>0.1</v>
      </c>
      <c r="J27" s="16">
        <v>0.1</v>
      </c>
      <c r="K27" s="16">
        <v>0.1</v>
      </c>
      <c r="L27" s="16">
        <v>0.2</v>
      </c>
      <c r="M27" s="16">
        <v>0.2</v>
      </c>
      <c r="N27" s="16">
        <v>0.2</v>
      </c>
      <c r="O27" s="16">
        <v>0.2</v>
      </c>
      <c r="P27" s="16">
        <v>0.3</v>
      </c>
      <c r="Q27" s="16">
        <v>0.3</v>
      </c>
      <c r="R27" s="16">
        <v>0.3</v>
      </c>
      <c r="S27" s="16">
        <v>0.4</v>
      </c>
      <c r="T27" s="16">
        <v>0.4</v>
      </c>
      <c r="U27" s="16">
        <v>0.5</v>
      </c>
      <c r="V27" s="16">
        <v>0.5</v>
      </c>
      <c r="W27" s="16">
        <v>0.6</v>
      </c>
      <c r="X27" s="16">
        <v>0.7</v>
      </c>
      <c r="Y27" s="16">
        <v>0.8</v>
      </c>
      <c r="Z27" s="16">
        <v>1</v>
      </c>
      <c r="AA27" s="16">
        <v>1.5</v>
      </c>
      <c r="AB27" s="16">
        <v>2</v>
      </c>
      <c r="AC27" s="16">
        <v>2.9</v>
      </c>
      <c r="AD27" s="12" t="s">
        <v>133</v>
      </c>
    </row>
    <row r="28" spans="1:30" ht="48">
      <c r="A28" s="12" t="s">
        <v>100</v>
      </c>
      <c r="B28" s="12" t="s">
        <v>101</v>
      </c>
      <c r="C28" s="16" t="s">
        <v>160</v>
      </c>
      <c r="D28" s="17">
        <v>10294</v>
      </c>
      <c r="E28" s="16">
        <v>100</v>
      </c>
      <c r="F28" s="16">
        <v>0.53</v>
      </c>
      <c r="G28" s="16">
        <v>0.02</v>
      </c>
      <c r="H28" s="16" t="s">
        <v>102</v>
      </c>
      <c r="I28" s="16">
        <v>0.1</v>
      </c>
      <c r="J28" s="16">
        <v>0.1</v>
      </c>
      <c r="K28" s="16">
        <v>0.2</v>
      </c>
      <c r="L28" s="16">
        <v>0.2</v>
      </c>
      <c r="M28" s="16">
        <v>0.2</v>
      </c>
      <c r="N28" s="16">
        <v>0.2</v>
      </c>
      <c r="O28" s="16">
        <v>0.3</v>
      </c>
      <c r="P28" s="16">
        <v>0.3</v>
      </c>
      <c r="Q28" s="16">
        <v>0.3</v>
      </c>
      <c r="R28" s="16">
        <v>0.3</v>
      </c>
      <c r="S28" s="16">
        <v>0.4</v>
      </c>
      <c r="T28" s="16">
        <v>0.4</v>
      </c>
      <c r="U28" s="16">
        <v>0.4</v>
      </c>
      <c r="V28" s="16">
        <v>0.5</v>
      </c>
      <c r="W28" s="16">
        <v>0.5</v>
      </c>
      <c r="X28" s="16">
        <v>0.6</v>
      </c>
      <c r="Y28" s="16">
        <v>0.7</v>
      </c>
      <c r="Z28" s="16">
        <v>0.9</v>
      </c>
      <c r="AA28" s="16">
        <v>1.3</v>
      </c>
      <c r="AB28" s="16">
        <v>1.8</v>
      </c>
      <c r="AC28" s="16">
        <v>3.2</v>
      </c>
      <c r="AD28" s="12" t="s">
        <v>103</v>
      </c>
    </row>
    <row r="29" spans="1:30" ht="32">
      <c r="A29" s="12" t="s">
        <v>100</v>
      </c>
      <c r="B29" s="12" t="s">
        <v>101</v>
      </c>
      <c r="C29" s="16" t="s">
        <v>161</v>
      </c>
      <c r="D29" s="17">
        <v>2082</v>
      </c>
      <c r="E29" s="16">
        <v>100</v>
      </c>
      <c r="F29" s="16">
        <v>0.64</v>
      </c>
      <c r="G29" s="16">
        <v>0.08</v>
      </c>
      <c r="H29" s="16" t="s">
        <v>102</v>
      </c>
      <c r="I29" s="16">
        <v>0.1</v>
      </c>
      <c r="J29" s="16">
        <v>0.1</v>
      </c>
      <c r="K29" s="16">
        <v>0.1</v>
      </c>
      <c r="L29" s="16">
        <v>0.2</v>
      </c>
      <c r="M29" s="16">
        <v>0.2</v>
      </c>
      <c r="N29" s="16">
        <v>0.2</v>
      </c>
      <c r="O29" s="16">
        <v>0.2</v>
      </c>
      <c r="P29" s="16">
        <v>0.3</v>
      </c>
      <c r="Q29" s="16">
        <v>0.3</v>
      </c>
      <c r="R29" s="16">
        <v>0.3</v>
      </c>
      <c r="S29" s="16">
        <v>0.4</v>
      </c>
      <c r="T29" s="16">
        <v>0.4</v>
      </c>
      <c r="U29" s="16">
        <v>0.5</v>
      </c>
      <c r="V29" s="16">
        <v>0.5</v>
      </c>
      <c r="W29" s="16">
        <v>0.6</v>
      </c>
      <c r="X29" s="16">
        <v>0.7</v>
      </c>
      <c r="Y29" s="16">
        <v>0.8</v>
      </c>
      <c r="Z29" s="16">
        <v>1</v>
      </c>
      <c r="AA29" s="16">
        <v>1.7</v>
      </c>
      <c r="AB29" s="16">
        <v>2.8</v>
      </c>
      <c r="AC29" s="16">
        <v>8.1</v>
      </c>
      <c r="AD29" s="12" t="s">
        <v>162</v>
      </c>
    </row>
    <row r="30" spans="1:30" ht="64">
      <c r="A30" s="12" t="s">
        <v>100</v>
      </c>
      <c r="B30" s="12" t="s">
        <v>101</v>
      </c>
      <c r="C30" s="16" t="s">
        <v>163</v>
      </c>
      <c r="D30" s="17">
        <v>1173</v>
      </c>
      <c r="E30" s="16">
        <v>99</v>
      </c>
      <c r="F30" s="16">
        <v>0.76</v>
      </c>
      <c r="G30" s="16">
        <v>7.0000000000000007E-2</v>
      </c>
      <c r="H30" s="16" t="s">
        <v>150</v>
      </c>
      <c r="I30" s="16">
        <v>0.1</v>
      </c>
      <c r="J30" s="16">
        <v>0.1</v>
      </c>
      <c r="K30" s="16">
        <v>0.2</v>
      </c>
      <c r="L30" s="16">
        <v>0.2</v>
      </c>
      <c r="M30" s="16">
        <v>0.2</v>
      </c>
      <c r="N30" s="16">
        <v>0.3</v>
      </c>
      <c r="O30" s="16">
        <v>0.3</v>
      </c>
      <c r="P30" s="16">
        <v>0.3</v>
      </c>
      <c r="Q30" s="16">
        <v>0.3</v>
      </c>
      <c r="R30" s="16">
        <v>0.4</v>
      </c>
      <c r="S30" s="16">
        <v>0.4</v>
      </c>
      <c r="T30" s="16">
        <v>0.5</v>
      </c>
      <c r="U30" s="16">
        <v>0.5</v>
      </c>
      <c r="V30" s="16">
        <v>0.6</v>
      </c>
      <c r="W30" s="16">
        <v>0.7</v>
      </c>
      <c r="X30" s="16">
        <v>0.9</v>
      </c>
      <c r="Y30" s="16">
        <v>1.1000000000000001</v>
      </c>
      <c r="Z30" s="16">
        <v>1.4</v>
      </c>
      <c r="AA30" s="16">
        <v>2.4</v>
      </c>
      <c r="AB30" s="16">
        <v>4.5</v>
      </c>
      <c r="AC30" s="16" t="s">
        <v>164</v>
      </c>
      <c r="AD30" s="12" t="s">
        <v>165</v>
      </c>
    </row>
    <row r="32" spans="1:30">
      <c r="A32" s="18" t="s">
        <v>166</v>
      </c>
    </row>
    <row r="34" spans="1:1">
      <c r="A34" s="18" t="s">
        <v>167</v>
      </c>
    </row>
    <row r="36" spans="1:1">
      <c r="A36" s="18" t="s">
        <v>483</v>
      </c>
    </row>
  </sheetData>
  <mergeCells count="6">
    <mergeCell ref="A5:AD5"/>
    <mergeCell ref="A1:E2"/>
    <mergeCell ref="F1:R2"/>
    <mergeCell ref="A3:G3"/>
    <mergeCell ref="H3:AC3"/>
    <mergeCell ref="A4:C4"/>
  </mergeCells>
  <phoneticPr fontId="9" type="noConversion"/>
  <hyperlinks>
    <hyperlink ref="A32" r:id="rId1" location="q27" display="https://fcid.foodrisk.org/faq/ - q27" xr:uid="{1013C95A-6231-4308-B8E3-5E966DF2D8A8}"/>
    <hyperlink ref="A34" r:id="rId2" display="https://www.ars.usda.gov/northeast-area/beltsville-md/beltsville-human-nutrition-research-center/food-surveys-research-group/docs/wweianhanes-overview/" xr:uid="{7A1C8247-2749-4F00-AC27-9A39C6A25296}"/>
    <hyperlink ref="A36" r:id="rId3" xr:uid="{005933E1-036D-BB40-B313-E41307FFCD6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E1B3-BE2B-4256-ADBA-4752DFBAC7AC}">
  <dimension ref="A2:S66"/>
  <sheetViews>
    <sheetView workbookViewId="0">
      <selection activeCell="C14" sqref="C14"/>
    </sheetView>
  </sheetViews>
  <sheetFormatPr baseColWidth="10" defaultColWidth="8.83203125" defaultRowHeight="15"/>
  <cols>
    <col min="3" max="3" width="11.6640625" customWidth="1"/>
  </cols>
  <sheetData>
    <row r="2" spans="1:5">
      <c r="A2" t="s">
        <v>168</v>
      </c>
    </row>
    <row r="3" spans="1:5">
      <c r="B3" t="s">
        <v>3</v>
      </c>
      <c r="C3" t="s">
        <v>4</v>
      </c>
      <c r="D3" t="s">
        <v>169</v>
      </c>
      <c r="E3" t="s">
        <v>170</v>
      </c>
    </row>
    <row r="4" spans="1:5">
      <c r="A4" t="s">
        <v>17</v>
      </c>
      <c r="B4">
        <v>2.0000000000000002E-5</v>
      </c>
      <c r="C4" t="s">
        <v>171</v>
      </c>
      <c r="D4" t="s">
        <v>172</v>
      </c>
      <c r="E4" s="18" t="s">
        <v>173</v>
      </c>
    </row>
    <row r="5" spans="1:5">
      <c r="B5">
        <f>B4*(10^6)</f>
        <v>20</v>
      </c>
      <c r="C5" t="s">
        <v>174</v>
      </c>
      <c r="D5" t="s">
        <v>172</v>
      </c>
      <c r="E5" t="s">
        <v>173</v>
      </c>
    </row>
    <row r="6" spans="1:5">
      <c r="A6" t="s">
        <v>18</v>
      </c>
      <c r="B6">
        <v>1E-3</v>
      </c>
      <c r="C6" t="s">
        <v>171</v>
      </c>
      <c r="D6" t="s">
        <v>175</v>
      </c>
      <c r="E6" s="18" t="s">
        <v>176</v>
      </c>
    </row>
    <row r="7" spans="1:5">
      <c r="B7">
        <f>B6*(10^6)</f>
        <v>1000</v>
      </c>
      <c r="C7" t="s">
        <v>174</v>
      </c>
      <c r="D7" t="s">
        <v>175</v>
      </c>
      <c r="E7" t="s">
        <v>176</v>
      </c>
    </row>
    <row r="8" spans="1:5">
      <c r="A8" t="s">
        <v>19</v>
      </c>
      <c r="B8">
        <v>5.0000000000000001E-4</v>
      </c>
      <c r="C8" t="s">
        <v>171</v>
      </c>
      <c r="D8" t="s">
        <v>175</v>
      </c>
      <c r="E8" t="s">
        <v>177</v>
      </c>
    </row>
    <row r="9" spans="1:5">
      <c r="B9">
        <f>B8*(10^6)</f>
        <v>500</v>
      </c>
      <c r="C9" t="s">
        <v>174</v>
      </c>
      <c r="D9" t="s">
        <v>175</v>
      </c>
      <c r="E9" t="s">
        <v>177</v>
      </c>
    </row>
    <row r="10" spans="1:5">
      <c r="A10" t="s">
        <v>20</v>
      </c>
      <c r="B10">
        <v>2.0000000000000002E-5</v>
      </c>
      <c r="C10" t="s">
        <v>171</v>
      </c>
      <c r="D10" t="s">
        <v>172</v>
      </c>
      <c r="E10" t="s">
        <v>178</v>
      </c>
    </row>
    <row r="11" spans="1:5">
      <c r="B11">
        <f>B10*(10^6)</f>
        <v>20</v>
      </c>
      <c r="C11" t="s">
        <v>174</v>
      </c>
      <c r="D11" t="s">
        <v>172</v>
      </c>
      <c r="E11" t="s">
        <v>178</v>
      </c>
    </row>
    <row r="12" spans="1:5">
      <c r="A12" t="s">
        <v>21</v>
      </c>
    </row>
    <row r="14" spans="1:5">
      <c r="A14" t="s">
        <v>22</v>
      </c>
    </row>
    <row r="16" spans="1:5">
      <c r="A16" t="s">
        <v>23</v>
      </c>
    </row>
    <row r="18" spans="1:19">
      <c r="A18" t="s">
        <v>24</v>
      </c>
    </row>
    <row r="20" spans="1:19">
      <c r="A20" t="s">
        <v>25</v>
      </c>
    </row>
    <row r="22" spans="1:19">
      <c r="A22" t="s">
        <v>179</v>
      </c>
    </row>
    <row r="24" spans="1:19">
      <c r="A24" t="s">
        <v>180</v>
      </c>
    </row>
    <row r="26" spans="1:19">
      <c r="A26" t="s">
        <v>26</v>
      </c>
      <c r="S26">
        <f>48*4</f>
        <v>192</v>
      </c>
    </row>
    <row r="27" spans="1:19">
      <c r="S27">
        <f>400-S26</f>
        <v>208</v>
      </c>
    </row>
    <row r="28" spans="1:19">
      <c r="A28" t="s">
        <v>181</v>
      </c>
    </row>
    <row r="30" spans="1:19">
      <c r="A30" t="s">
        <v>27</v>
      </c>
    </row>
    <row r="32" spans="1:19">
      <c r="A32" t="s">
        <v>28</v>
      </c>
    </row>
    <row r="34" spans="1:1">
      <c r="A34" t="s">
        <v>29</v>
      </c>
    </row>
    <row r="36" spans="1:1">
      <c r="A36" t="s">
        <v>30</v>
      </c>
    </row>
    <row r="38" spans="1:1">
      <c r="A38" t="s">
        <v>31</v>
      </c>
    </row>
    <row r="40" spans="1:1">
      <c r="A40" t="s">
        <v>32</v>
      </c>
    </row>
    <row r="42" spans="1:1">
      <c r="A42" t="s">
        <v>33</v>
      </c>
    </row>
    <row r="44" spans="1:1">
      <c r="A44" t="s">
        <v>34</v>
      </c>
    </row>
    <row r="46" spans="1:1">
      <c r="A46" t="s">
        <v>182</v>
      </c>
    </row>
    <row r="48" spans="1:1">
      <c r="A48" t="s">
        <v>183</v>
      </c>
    </row>
    <row r="50" spans="1:1">
      <c r="A50" t="s">
        <v>184</v>
      </c>
    </row>
    <row r="52" spans="1:1">
      <c r="A52" t="s">
        <v>35</v>
      </c>
    </row>
    <row r="54" spans="1:1">
      <c r="A54" t="s">
        <v>36</v>
      </c>
    </row>
    <row r="56" spans="1:1">
      <c r="A56" t="s">
        <v>185</v>
      </c>
    </row>
    <row r="58" spans="1:1">
      <c r="A58" t="s">
        <v>186</v>
      </c>
    </row>
    <row r="60" spans="1:1">
      <c r="A60" t="s">
        <v>187</v>
      </c>
    </row>
    <row r="62" spans="1:1">
      <c r="A62" t="s">
        <v>188</v>
      </c>
    </row>
    <row r="64" spans="1:1">
      <c r="A64" t="s">
        <v>189</v>
      </c>
    </row>
    <row r="66" spans="1:1">
      <c r="A66" t="s">
        <v>190</v>
      </c>
    </row>
  </sheetData>
  <phoneticPr fontId="9" type="noConversion"/>
  <hyperlinks>
    <hyperlink ref="E4" r:id="rId1" xr:uid="{8A98C46A-5F1F-41C7-9D97-62750914F449}"/>
    <hyperlink ref="E6" r:id="rId2" xr:uid="{127D5874-CA4B-4A11-A3DC-FC84AA10DF1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824F8-C0A8-459B-AB4A-F09A19FF6B54}">
  <dimension ref="A2:H27"/>
  <sheetViews>
    <sheetView workbookViewId="0">
      <selection activeCell="I1" sqref="I1"/>
    </sheetView>
  </sheetViews>
  <sheetFormatPr baseColWidth="10" defaultColWidth="8.83203125" defaultRowHeight="15"/>
  <cols>
    <col min="1" max="1" width="22.5" customWidth="1"/>
  </cols>
  <sheetData>
    <row r="2" spans="1:7">
      <c r="A2" t="s">
        <v>191</v>
      </c>
      <c r="B2" t="s">
        <v>192</v>
      </c>
      <c r="E2" s="73" t="s">
        <v>17</v>
      </c>
      <c r="F2" s="74"/>
      <c r="G2" s="75"/>
    </row>
    <row r="3" spans="1:7">
      <c r="A3" t="s">
        <v>193</v>
      </c>
      <c r="B3" t="s">
        <v>194</v>
      </c>
      <c r="E3" s="4"/>
      <c r="F3" s="4"/>
      <c r="G3" s="4"/>
    </row>
    <row r="4" spans="1:7">
      <c r="A4" t="s">
        <v>195</v>
      </c>
      <c r="B4" t="s">
        <v>196</v>
      </c>
      <c r="E4" s="5" t="s">
        <v>197</v>
      </c>
      <c r="F4" s="6" t="s">
        <v>3</v>
      </c>
      <c r="G4" s="7" t="s">
        <v>4</v>
      </c>
    </row>
    <row r="5" spans="1:7">
      <c r="A5" t="s">
        <v>198</v>
      </c>
      <c r="B5" t="s">
        <v>199</v>
      </c>
      <c r="E5" s="8" t="s">
        <v>200</v>
      </c>
      <c r="F5">
        <f>'Fake Concentrations'!A7*BeefHumanConsumption!F7</f>
        <v>3.65E-3</v>
      </c>
      <c r="G5" s="9" t="s">
        <v>201</v>
      </c>
    </row>
    <row r="6" spans="1:7">
      <c r="A6" t="s">
        <v>202</v>
      </c>
      <c r="B6" t="s">
        <v>203</v>
      </c>
      <c r="E6" s="8" t="s">
        <v>204</v>
      </c>
      <c r="F6">
        <f>F5/'Reference Doses'!B5</f>
        <v>1.8249999999999999E-4</v>
      </c>
      <c r="G6" s="9" t="s">
        <v>205</v>
      </c>
    </row>
    <row r="7" spans="1:7">
      <c r="A7" t="s">
        <v>206</v>
      </c>
      <c r="B7" t="s">
        <v>207</v>
      </c>
      <c r="E7" s="10"/>
      <c r="F7" s="4"/>
      <c r="G7" s="11"/>
    </row>
    <row r="9" spans="1:7">
      <c r="A9" t="s">
        <v>208</v>
      </c>
      <c r="E9" s="5" t="s">
        <v>209</v>
      </c>
      <c r="F9" s="6" t="s">
        <v>3</v>
      </c>
      <c r="G9" s="7" t="s">
        <v>4</v>
      </c>
    </row>
    <row r="10" spans="1:7">
      <c r="A10" t="s">
        <v>200</v>
      </c>
      <c r="B10" t="s">
        <v>210</v>
      </c>
      <c r="E10" s="8" t="s">
        <v>200</v>
      </c>
      <c r="F10">
        <f>'Fake Concentrations'!F3*DairyHumanConsumption!D5</f>
        <v>3.3500000000000002E-2</v>
      </c>
      <c r="G10" s="9" t="s">
        <v>201</v>
      </c>
    </row>
    <row r="11" spans="1:7">
      <c r="A11" t="s">
        <v>204</v>
      </c>
      <c r="B11" t="s">
        <v>211</v>
      </c>
      <c r="E11" s="8" t="s">
        <v>204</v>
      </c>
      <c r="F11">
        <f>F10/'Reference Doses'!B5</f>
        <v>1.6750000000000001E-3</v>
      </c>
      <c r="G11" s="9" t="s">
        <v>205</v>
      </c>
    </row>
    <row r="12" spans="1:7">
      <c r="E12" s="10"/>
      <c r="F12" s="4"/>
      <c r="G12" s="11"/>
    </row>
    <row r="14" spans="1:7">
      <c r="E14" s="5" t="s">
        <v>212</v>
      </c>
      <c r="F14" s="6" t="s">
        <v>3</v>
      </c>
      <c r="G14" s="7" t="s">
        <v>4</v>
      </c>
    </row>
    <row r="15" spans="1:7">
      <c r="E15" s="8" t="s">
        <v>200</v>
      </c>
      <c r="F15">
        <f>CornHumanConsumption!F7*'Fake Concentrations'!F7</f>
        <v>6.9999999999999993E-3</v>
      </c>
      <c r="G15" s="9" t="s">
        <v>174</v>
      </c>
    </row>
    <row r="16" spans="1:7">
      <c r="E16" s="8" t="s">
        <v>204</v>
      </c>
      <c r="F16">
        <f>F15/'Reference Doses'!B5</f>
        <v>3.4999999999999994E-4</v>
      </c>
      <c r="G16" s="9" t="s">
        <v>205</v>
      </c>
    </row>
    <row r="17" spans="5:8">
      <c r="E17" s="10"/>
      <c r="F17" s="4"/>
      <c r="G17" s="11"/>
    </row>
    <row r="19" spans="5:8">
      <c r="E19" s="5" t="s">
        <v>213</v>
      </c>
      <c r="F19" s="6" t="s">
        <v>3</v>
      </c>
      <c r="G19" s="7" t="s">
        <v>4</v>
      </c>
    </row>
    <row r="20" spans="5:8">
      <c r="E20" s="8" t="s">
        <v>200</v>
      </c>
      <c r="F20">
        <f>'Fake Concentrations'!F11*WheatHumanConsumption!F7</f>
        <v>7.8500000000000011E-3</v>
      </c>
      <c r="G20" s="9" t="s">
        <v>174</v>
      </c>
    </row>
    <row r="21" spans="5:8">
      <c r="E21" s="8" t="s">
        <v>204</v>
      </c>
      <c r="F21">
        <f>F20/'Reference Doses'!B5</f>
        <v>3.9250000000000005E-4</v>
      </c>
      <c r="G21" s="9" t="s">
        <v>205</v>
      </c>
    </row>
    <row r="22" spans="5:8">
      <c r="E22" s="10"/>
      <c r="F22" s="4"/>
      <c r="G22" s="11"/>
    </row>
    <row r="23" spans="5:8" ht="16" thickBot="1"/>
    <row r="24" spans="5:8">
      <c r="E24" s="36" t="s">
        <v>214</v>
      </c>
      <c r="F24" s="37" t="s">
        <v>3</v>
      </c>
      <c r="G24" s="38" t="s">
        <v>4</v>
      </c>
    </row>
    <row r="25" spans="5:8">
      <c r="E25" s="39" t="s">
        <v>200</v>
      </c>
      <c r="F25" s="40">
        <f>SoyHumanConsumption!F7*SoyPlantUptake!G17</f>
        <v>2.2000000000000002E-2</v>
      </c>
      <c r="G25" s="41" t="s">
        <v>174</v>
      </c>
      <c r="H25" t="s">
        <v>215</v>
      </c>
    </row>
    <row r="26" spans="5:8">
      <c r="E26" s="39" t="s">
        <v>204</v>
      </c>
      <c r="F26" s="40">
        <f>F25/'Reference Doses'!B5</f>
        <v>1.1000000000000001E-3</v>
      </c>
      <c r="G26" s="41" t="s">
        <v>205</v>
      </c>
    </row>
    <row r="27" spans="5:8" ht="16" thickBot="1">
      <c r="E27" s="42"/>
      <c r="F27" s="43"/>
      <c r="G27" s="44"/>
    </row>
  </sheetData>
  <mergeCells count="1">
    <mergeCell ref="E2:G2"/>
  </mergeCells>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13401-9B39-41A8-919D-BF7DB5A24A14}">
  <dimension ref="A1:O84"/>
  <sheetViews>
    <sheetView workbookViewId="0">
      <selection activeCell="D34" sqref="D34"/>
    </sheetView>
  </sheetViews>
  <sheetFormatPr baseColWidth="10" defaultColWidth="8.83203125" defaultRowHeight="15"/>
  <cols>
    <col min="1" max="1" width="16.6640625" customWidth="1"/>
    <col min="2" max="2" width="12.83203125" customWidth="1"/>
    <col min="3" max="3" width="43.83203125" customWidth="1"/>
    <col min="4" max="4" width="34.33203125" customWidth="1"/>
  </cols>
  <sheetData>
    <row r="1" spans="1:15">
      <c r="A1" t="s">
        <v>216</v>
      </c>
    </row>
    <row r="2" spans="1:15">
      <c r="A2" s="2" t="s">
        <v>217</v>
      </c>
      <c r="O2" s="1"/>
    </row>
    <row r="3" spans="1:15">
      <c r="A3" s="4"/>
      <c r="B3" s="4" t="s">
        <v>3</v>
      </c>
      <c r="C3" s="4" t="s">
        <v>80</v>
      </c>
      <c r="D3" s="4" t="s">
        <v>4</v>
      </c>
      <c r="E3" s="4" t="s">
        <v>81</v>
      </c>
      <c r="F3" s="4" t="s">
        <v>82</v>
      </c>
      <c r="O3" s="1"/>
    </row>
    <row r="4" spans="1:15">
      <c r="A4" t="s">
        <v>17</v>
      </c>
      <c r="B4">
        <v>154.4</v>
      </c>
      <c r="C4">
        <v>18.600000000000001</v>
      </c>
      <c r="D4" t="s">
        <v>5</v>
      </c>
      <c r="E4" s="23"/>
      <c r="O4" s="1"/>
    </row>
    <row r="5" spans="1:15">
      <c r="A5" t="s">
        <v>20</v>
      </c>
      <c r="B5">
        <v>416.8</v>
      </c>
      <c r="C5">
        <v>29.5</v>
      </c>
      <c r="D5" t="s">
        <v>5</v>
      </c>
      <c r="E5" s="22"/>
      <c r="O5" s="1"/>
    </row>
    <row r="6" spans="1:15">
      <c r="E6" s="23"/>
      <c r="O6" s="1"/>
    </row>
    <row r="7" spans="1:15">
      <c r="A7" s="66" t="s">
        <v>218</v>
      </c>
      <c r="B7" s="66"/>
      <c r="C7" s="66"/>
      <c r="D7" s="66"/>
      <c r="E7" s="66"/>
      <c r="F7" s="66"/>
      <c r="O7" s="1"/>
    </row>
    <row r="8" spans="1:15" ht="18">
      <c r="A8" s="12"/>
      <c r="B8" s="24" t="s">
        <v>219</v>
      </c>
      <c r="C8" s="24" t="s">
        <v>13</v>
      </c>
      <c r="D8" s="24" t="s">
        <v>220</v>
      </c>
      <c r="E8" s="24" t="s">
        <v>13</v>
      </c>
      <c r="F8" s="24"/>
    </row>
    <row r="9" spans="1:15" ht="16">
      <c r="A9" s="12" t="s">
        <v>221</v>
      </c>
      <c r="B9" s="12">
        <v>481.4</v>
      </c>
      <c r="C9" s="12">
        <v>6.7</v>
      </c>
      <c r="D9" s="12">
        <v>62.9</v>
      </c>
      <c r="E9" s="12">
        <v>7.3</v>
      </c>
      <c r="F9" s="12"/>
    </row>
    <row r="10" spans="1:15" ht="16">
      <c r="A10" s="12" t="s">
        <v>222</v>
      </c>
      <c r="B10" s="12">
        <v>600.79999999999995</v>
      </c>
      <c r="C10" s="12">
        <v>63.4</v>
      </c>
      <c r="D10" s="12">
        <v>61.2</v>
      </c>
      <c r="E10" s="12">
        <v>5.3</v>
      </c>
      <c r="F10" s="12"/>
    </row>
    <row r="11" spans="1:15" ht="16">
      <c r="A11" s="12" t="s">
        <v>223</v>
      </c>
      <c r="B11">
        <v>408.9</v>
      </c>
      <c r="C11" s="12">
        <v>37.700000000000003</v>
      </c>
      <c r="D11" s="12">
        <v>25.5</v>
      </c>
      <c r="E11" s="12">
        <v>4.4000000000000004</v>
      </c>
      <c r="F11" s="12"/>
    </row>
    <row r="12" spans="1:15" ht="16">
      <c r="A12" s="12" t="s">
        <v>224</v>
      </c>
      <c r="B12" s="12">
        <v>640.20000000000005</v>
      </c>
      <c r="C12" s="12">
        <v>41.4</v>
      </c>
      <c r="D12" s="12">
        <v>105.5</v>
      </c>
      <c r="E12" s="12">
        <v>8.9</v>
      </c>
      <c r="F12" s="12"/>
    </row>
    <row r="13" spans="1:15" ht="16">
      <c r="A13" s="12" t="s">
        <v>225</v>
      </c>
      <c r="B13" s="12">
        <v>403.2</v>
      </c>
      <c r="C13" s="12">
        <v>56.1</v>
      </c>
      <c r="D13" s="12">
        <v>72.3</v>
      </c>
      <c r="E13" s="12">
        <v>17.8</v>
      </c>
      <c r="F13" s="12"/>
    </row>
    <row r="14" spans="1:15" ht="16">
      <c r="A14" s="12" t="s">
        <v>226</v>
      </c>
      <c r="B14" s="12">
        <v>212.4</v>
      </c>
      <c r="C14" s="12">
        <v>29.8</v>
      </c>
      <c r="D14" s="12">
        <v>27.9</v>
      </c>
      <c r="E14" s="12">
        <v>3.5</v>
      </c>
      <c r="F14" s="12"/>
    </row>
    <row r="15" spans="1:15" ht="16">
      <c r="A15" s="12" t="s">
        <v>57</v>
      </c>
      <c r="B15" s="12">
        <v>723.6</v>
      </c>
      <c r="C15" s="12">
        <v>54.9</v>
      </c>
      <c r="D15" s="12">
        <v>39.9</v>
      </c>
      <c r="E15" s="12">
        <v>2.8</v>
      </c>
      <c r="F15" s="12"/>
    </row>
    <row r="16" spans="1:15">
      <c r="A16" s="66" t="s">
        <v>227</v>
      </c>
      <c r="B16" s="66"/>
      <c r="C16" s="66"/>
      <c r="D16" s="66"/>
      <c r="E16" s="66"/>
      <c r="F16" s="66"/>
    </row>
    <row r="17" spans="1:6" ht="16">
      <c r="A17" s="12" t="s">
        <v>221</v>
      </c>
      <c r="B17" s="12">
        <v>4310.3</v>
      </c>
      <c r="C17" s="12">
        <v>303</v>
      </c>
      <c r="D17" s="12">
        <v>1311.5</v>
      </c>
      <c r="E17" s="12">
        <v>201.1</v>
      </c>
      <c r="F17" s="12"/>
    </row>
    <row r="18" spans="1:6" ht="16">
      <c r="A18" s="12" t="s">
        <v>222</v>
      </c>
      <c r="B18" s="12">
        <v>2523.1999999999998</v>
      </c>
      <c r="C18" s="12">
        <v>251.4</v>
      </c>
      <c r="D18" s="12">
        <v>493.6</v>
      </c>
      <c r="E18" s="12">
        <v>42.7</v>
      </c>
      <c r="F18" s="12"/>
    </row>
    <row r="19" spans="1:6" ht="16">
      <c r="A19" s="12" t="s">
        <v>223</v>
      </c>
      <c r="B19" s="12">
        <v>703.4</v>
      </c>
      <c r="C19" s="12">
        <v>38.1</v>
      </c>
      <c r="D19" s="12">
        <v>85.8</v>
      </c>
      <c r="E19" s="12">
        <v>2.4</v>
      </c>
      <c r="F19" s="12"/>
    </row>
    <row r="20" spans="1:6" ht="16">
      <c r="A20" s="12" t="s">
        <v>224</v>
      </c>
      <c r="B20" s="12">
        <v>3230.1</v>
      </c>
      <c r="C20" s="12">
        <v>292.8</v>
      </c>
      <c r="D20" s="12">
        <v>3500.9</v>
      </c>
      <c r="E20" s="12">
        <v>166.3</v>
      </c>
      <c r="F20" s="12"/>
    </row>
    <row r="21" spans="1:6" ht="16">
      <c r="A21" s="12" t="s">
        <v>225</v>
      </c>
      <c r="B21" s="12">
        <v>1250.3</v>
      </c>
      <c r="C21" s="12">
        <v>169.2</v>
      </c>
      <c r="D21" s="12">
        <v>2227.4</v>
      </c>
      <c r="E21" s="12">
        <v>54.3</v>
      </c>
      <c r="F21" s="12"/>
    </row>
    <row r="22" spans="1:6" ht="16">
      <c r="A22" s="12" t="s">
        <v>226</v>
      </c>
      <c r="B22" s="12">
        <v>977.8</v>
      </c>
      <c r="C22" s="12">
        <v>88.7</v>
      </c>
      <c r="D22" s="12">
        <v>550.79999999999995</v>
      </c>
      <c r="E22" s="12">
        <v>59</v>
      </c>
      <c r="F22" s="12"/>
    </row>
    <row r="23" spans="1:6" ht="16">
      <c r="A23" s="12" t="s">
        <v>57</v>
      </c>
      <c r="B23" s="12">
        <v>1335.9</v>
      </c>
      <c r="C23" s="12">
        <v>100.4</v>
      </c>
      <c r="D23" s="12">
        <v>123.6</v>
      </c>
      <c r="E23" s="12">
        <v>11.8</v>
      </c>
      <c r="F23" s="12"/>
    </row>
    <row r="25" spans="1:6">
      <c r="A25" t="s">
        <v>228</v>
      </c>
    </row>
    <row r="26" spans="1:6">
      <c r="A26" t="s">
        <v>229</v>
      </c>
    </row>
    <row r="27" spans="1:6">
      <c r="A27" s="26" t="s">
        <v>230</v>
      </c>
      <c r="B27" s="26" t="s">
        <v>231</v>
      </c>
      <c r="C27" s="26" t="s">
        <v>232</v>
      </c>
      <c r="D27" s="26" t="s">
        <v>233</v>
      </c>
      <c r="E27" s="26" t="s">
        <v>234</v>
      </c>
    </row>
    <row r="28" spans="1:6">
      <c r="A28" s="77" t="s">
        <v>235</v>
      </c>
      <c r="B28" s="78" t="s">
        <v>236</v>
      </c>
      <c r="C28" s="78" t="s">
        <v>237</v>
      </c>
      <c r="D28" s="27" t="s">
        <v>238</v>
      </c>
      <c r="E28" s="79" t="s">
        <v>239</v>
      </c>
    </row>
    <row r="29" spans="1:6">
      <c r="A29" s="77"/>
      <c r="B29" s="78"/>
      <c r="C29" s="78"/>
      <c r="D29" s="27" t="s">
        <v>240</v>
      </c>
      <c r="E29" s="79"/>
    </row>
    <row r="30" spans="1:6">
      <c r="A30" s="77"/>
      <c r="B30" s="78"/>
      <c r="C30" s="78"/>
      <c r="D30" s="27" t="s">
        <v>241</v>
      </c>
      <c r="E30" s="79"/>
    </row>
    <row r="31" spans="1:6">
      <c r="A31" s="77" t="s">
        <v>235</v>
      </c>
      <c r="B31" s="78" t="s">
        <v>242</v>
      </c>
      <c r="C31" s="78" t="s">
        <v>243</v>
      </c>
      <c r="D31" s="27" t="s">
        <v>238</v>
      </c>
      <c r="E31" s="79" t="s">
        <v>244</v>
      </c>
    </row>
    <row r="32" spans="1:6">
      <c r="A32" s="77"/>
      <c r="B32" s="78"/>
      <c r="C32" s="78"/>
      <c r="D32" s="27" t="s">
        <v>245</v>
      </c>
      <c r="E32" s="79"/>
    </row>
    <row r="33" spans="1:5">
      <c r="A33" s="77"/>
      <c r="B33" s="78"/>
      <c r="C33" s="78"/>
      <c r="D33" s="27" t="s">
        <v>246</v>
      </c>
      <c r="E33" s="79"/>
    </row>
    <row r="34" spans="1:5">
      <c r="A34" s="77"/>
      <c r="B34" s="78"/>
      <c r="C34" s="78"/>
      <c r="D34" s="27" t="s">
        <v>247</v>
      </c>
      <c r="E34" s="79"/>
    </row>
    <row r="35" spans="1:5">
      <c r="A35" s="77"/>
      <c r="B35" s="78"/>
      <c r="C35" s="78"/>
      <c r="D35" s="27" t="s">
        <v>248</v>
      </c>
      <c r="E35" s="79"/>
    </row>
    <row r="36" spans="1:5">
      <c r="A36" s="77"/>
      <c r="B36" s="78"/>
      <c r="C36" s="78"/>
      <c r="D36" s="27" t="s">
        <v>249</v>
      </c>
      <c r="E36" s="79"/>
    </row>
    <row r="37" spans="1:5">
      <c r="A37" s="77" t="s">
        <v>250</v>
      </c>
      <c r="B37" s="78" t="s">
        <v>251</v>
      </c>
      <c r="C37" s="78" t="s">
        <v>252</v>
      </c>
      <c r="D37" s="27" t="s">
        <v>253</v>
      </c>
      <c r="E37" s="79" t="s">
        <v>254</v>
      </c>
    </row>
    <row r="38" spans="1:5">
      <c r="A38" s="77"/>
      <c r="B38" s="78"/>
      <c r="C38" s="78"/>
      <c r="D38" s="27" t="s">
        <v>255</v>
      </c>
      <c r="E38" s="79"/>
    </row>
    <row r="39" spans="1:5">
      <c r="A39" s="77"/>
      <c r="B39" s="78"/>
      <c r="C39" s="27" t="s">
        <v>256</v>
      </c>
      <c r="D39" s="27" t="s">
        <v>257</v>
      </c>
      <c r="E39" s="79"/>
    </row>
    <row r="40" spans="1:5">
      <c r="A40" s="77"/>
      <c r="B40" s="78"/>
      <c r="C40" s="27" t="s">
        <v>258</v>
      </c>
      <c r="D40" s="27" t="s">
        <v>259</v>
      </c>
      <c r="E40" s="79"/>
    </row>
    <row r="41" spans="1:5">
      <c r="A41" s="77"/>
      <c r="B41" s="78"/>
      <c r="C41" s="27" t="s">
        <v>260</v>
      </c>
      <c r="D41" s="27" t="s">
        <v>261</v>
      </c>
      <c r="E41" s="79"/>
    </row>
    <row r="42" spans="1:5">
      <c r="A42" s="77"/>
      <c r="B42" s="78"/>
      <c r="C42" s="27" t="s">
        <v>262</v>
      </c>
      <c r="D42" s="78"/>
      <c r="E42" s="79"/>
    </row>
    <row r="43" spans="1:5">
      <c r="A43" s="77"/>
      <c r="B43" s="78"/>
      <c r="C43" s="27" t="s">
        <v>263</v>
      </c>
      <c r="D43" s="78"/>
      <c r="E43" s="79"/>
    </row>
    <row r="44" spans="1:5">
      <c r="A44" s="77" t="s">
        <v>264</v>
      </c>
      <c r="B44" s="78" t="s">
        <v>17</v>
      </c>
      <c r="C44" s="78" t="s">
        <v>265</v>
      </c>
      <c r="D44" s="27" t="s">
        <v>266</v>
      </c>
      <c r="E44" s="79" t="s">
        <v>267</v>
      </c>
    </row>
    <row r="45" spans="1:5">
      <c r="A45" s="77"/>
      <c r="B45" s="78"/>
      <c r="C45" s="78"/>
      <c r="D45" s="27" t="s">
        <v>268</v>
      </c>
      <c r="E45" s="79"/>
    </row>
    <row r="46" spans="1:5">
      <c r="A46" s="77"/>
      <c r="B46" s="78"/>
      <c r="C46" s="78"/>
      <c r="D46" s="78"/>
      <c r="E46" s="79"/>
    </row>
    <row r="47" spans="1:5">
      <c r="A47" s="77"/>
      <c r="B47" s="78"/>
      <c r="C47" s="27" t="s">
        <v>269</v>
      </c>
      <c r="D47" s="78"/>
      <c r="E47" s="79"/>
    </row>
    <row r="48" spans="1:5" ht="43.25" customHeight="1">
      <c r="A48" s="77" t="s">
        <v>270</v>
      </c>
      <c r="B48" s="78" t="s">
        <v>236</v>
      </c>
      <c r="C48" s="78" t="s">
        <v>237</v>
      </c>
      <c r="D48" s="27" t="s">
        <v>271</v>
      </c>
      <c r="E48" s="79" t="s">
        <v>239</v>
      </c>
    </row>
    <row r="49" spans="1:6">
      <c r="A49" s="77"/>
      <c r="B49" s="78"/>
      <c r="C49" s="78"/>
      <c r="D49" s="27" t="s">
        <v>272</v>
      </c>
      <c r="E49" s="79"/>
    </row>
    <row r="50" spans="1:6">
      <c r="A50" s="77"/>
      <c r="B50" s="78"/>
      <c r="C50" s="78"/>
      <c r="D50" s="27" t="s">
        <v>273</v>
      </c>
      <c r="E50" s="79"/>
    </row>
    <row r="51" spans="1:6">
      <c r="A51" s="77" t="s">
        <v>274</v>
      </c>
      <c r="B51" s="78" t="s">
        <v>242</v>
      </c>
      <c r="C51" s="78" t="s">
        <v>243</v>
      </c>
      <c r="D51" s="27" t="s">
        <v>238</v>
      </c>
      <c r="E51" s="79" t="s">
        <v>244</v>
      </c>
    </row>
    <row r="52" spans="1:6">
      <c r="A52" s="77"/>
      <c r="B52" s="78"/>
      <c r="C52" s="78"/>
      <c r="D52" s="27" t="s">
        <v>275</v>
      </c>
      <c r="E52" s="79"/>
    </row>
    <row r="53" spans="1:6">
      <c r="A53" s="77"/>
      <c r="B53" s="78"/>
      <c r="C53" s="78"/>
      <c r="D53" s="27" t="s">
        <v>276</v>
      </c>
      <c r="E53" s="79"/>
    </row>
    <row r="54" spans="1:6">
      <c r="A54" s="77"/>
      <c r="B54" s="78"/>
      <c r="C54" s="78"/>
      <c r="D54" s="27" t="s">
        <v>277</v>
      </c>
      <c r="E54" s="79"/>
    </row>
    <row r="55" spans="1:6">
      <c r="A55" s="77"/>
      <c r="B55" s="78"/>
      <c r="C55" s="78"/>
      <c r="D55" s="27" t="s">
        <v>259</v>
      </c>
      <c r="E55" s="79"/>
    </row>
    <row r="56" spans="1:6">
      <c r="A56" s="77"/>
      <c r="B56" s="78"/>
      <c r="C56" s="78"/>
      <c r="D56" s="27" t="s">
        <v>278</v>
      </c>
      <c r="E56" s="79"/>
    </row>
    <row r="57" spans="1:6" ht="29" customHeight="1">
      <c r="A57" s="77" t="s">
        <v>279</v>
      </c>
      <c r="B57" s="78" t="s">
        <v>17</v>
      </c>
      <c r="C57" s="27" t="s">
        <v>265</v>
      </c>
      <c r="D57" s="78">
        <v>254000</v>
      </c>
      <c r="E57" s="79" t="s">
        <v>267</v>
      </c>
    </row>
    <row r="58" spans="1:6">
      <c r="A58" s="77"/>
      <c r="B58" s="78"/>
      <c r="D58" s="78"/>
      <c r="E58" s="79"/>
    </row>
    <row r="60" spans="1:6">
      <c r="A60" t="s">
        <v>228</v>
      </c>
    </row>
    <row r="61" spans="1:6">
      <c r="A61" s="18" t="s">
        <v>280</v>
      </c>
    </row>
    <row r="63" spans="1:6" ht="64">
      <c r="A63" s="24" t="s">
        <v>281</v>
      </c>
      <c r="B63" s="24" t="s">
        <v>282</v>
      </c>
      <c r="C63" s="24" t="s">
        <v>283</v>
      </c>
      <c r="D63" s="24" t="s">
        <v>284</v>
      </c>
      <c r="E63" s="24" t="s">
        <v>285</v>
      </c>
      <c r="F63" s="24" t="s">
        <v>234</v>
      </c>
    </row>
    <row r="64" spans="1:6" ht="16">
      <c r="A64" s="66" t="s">
        <v>235</v>
      </c>
      <c r="B64" s="70" t="s">
        <v>286</v>
      </c>
      <c r="C64" s="70" t="s">
        <v>287</v>
      </c>
      <c r="D64" s="12" t="s">
        <v>288</v>
      </c>
      <c r="E64" s="70" t="s">
        <v>289</v>
      </c>
      <c r="F64" s="76" t="s">
        <v>239</v>
      </c>
    </row>
    <row r="65" spans="1:6" ht="16">
      <c r="A65" s="66"/>
      <c r="B65" s="70"/>
      <c r="C65" s="70"/>
      <c r="D65" s="12" t="s">
        <v>290</v>
      </c>
      <c r="E65" s="70"/>
      <c r="F65" s="76"/>
    </row>
    <row r="66" spans="1:6" ht="16">
      <c r="A66" s="66"/>
      <c r="B66" s="12" t="s">
        <v>291</v>
      </c>
      <c r="C66" s="70"/>
      <c r="D66" s="12" t="s">
        <v>292</v>
      </c>
      <c r="E66" s="70"/>
      <c r="F66" s="76"/>
    </row>
    <row r="67" spans="1:6" ht="25.25" customHeight="1">
      <c r="A67" s="66" t="s">
        <v>235</v>
      </c>
      <c r="B67" s="70" t="s">
        <v>293</v>
      </c>
      <c r="C67" s="12" t="s">
        <v>288</v>
      </c>
      <c r="D67" s="12" t="s">
        <v>288</v>
      </c>
      <c r="E67" s="70" t="s">
        <v>294</v>
      </c>
      <c r="F67" s="76" t="s">
        <v>244</v>
      </c>
    </row>
    <row r="68" spans="1:6" ht="18">
      <c r="A68" s="66"/>
      <c r="B68" s="70"/>
      <c r="C68" s="12" t="s">
        <v>295</v>
      </c>
      <c r="D68" s="12" t="s">
        <v>296</v>
      </c>
      <c r="E68" s="70"/>
      <c r="F68" s="76"/>
    </row>
    <row r="69" spans="1:6" ht="18">
      <c r="A69" s="66"/>
      <c r="B69" s="70"/>
      <c r="C69" s="12" t="s">
        <v>297</v>
      </c>
      <c r="D69" s="12" t="s">
        <v>298</v>
      </c>
      <c r="E69" s="70"/>
      <c r="F69" s="76"/>
    </row>
    <row r="70" spans="1:6" ht="32">
      <c r="A70" s="66" t="s">
        <v>250</v>
      </c>
      <c r="B70" s="12" t="s">
        <v>299</v>
      </c>
      <c r="C70" s="12" t="s">
        <v>300</v>
      </c>
      <c r="D70" s="12" t="s">
        <v>301</v>
      </c>
      <c r="E70" s="70" t="s">
        <v>302</v>
      </c>
      <c r="F70" s="76" t="s">
        <v>254</v>
      </c>
    </row>
    <row r="71" spans="1:6" ht="80">
      <c r="A71" s="66"/>
      <c r="B71" s="12" t="s">
        <v>303</v>
      </c>
      <c r="C71" s="70" t="s">
        <v>304</v>
      </c>
      <c r="D71" s="70" t="s">
        <v>305</v>
      </c>
      <c r="E71" s="70"/>
      <c r="F71" s="76"/>
    </row>
    <row r="72" spans="1:6" ht="16">
      <c r="A72" s="66"/>
      <c r="B72" s="12" t="s">
        <v>260</v>
      </c>
      <c r="C72" s="70"/>
      <c r="D72" s="70"/>
      <c r="E72" s="70"/>
      <c r="F72" s="76"/>
    </row>
    <row r="73" spans="1:6" ht="16">
      <c r="A73" s="66"/>
      <c r="B73" s="12" t="s">
        <v>262</v>
      </c>
      <c r="C73" s="70"/>
      <c r="D73" s="70"/>
      <c r="E73" s="70"/>
      <c r="F73" s="76"/>
    </row>
    <row r="74" spans="1:6" ht="16">
      <c r="A74" s="66"/>
      <c r="B74" s="12" t="s">
        <v>263</v>
      </c>
      <c r="C74" s="70"/>
      <c r="D74" s="70"/>
      <c r="E74" s="70"/>
      <c r="F74" s="76"/>
    </row>
    <row r="75" spans="1:6" ht="29" customHeight="1">
      <c r="A75" s="66" t="s">
        <v>264</v>
      </c>
      <c r="B75" s="12" t="s">
        <v>306</v>
      </c>
      <c r="C75" s="76" t="s">
        <v>307</v>
      </c>
      <c r="D75" s="76" t="s">
        <v>308</v>
      </c>
      <c r="E75" s="70" t="s">
        <v>289</v>
      </c>
      <c r="F75" s="76" t="s">
        <v>267</v>
      </c>
    </row>
    <row r="76" spans="1:6" ht="16">
      <c r="A76" s="66"/>
      <c r="B76" s="12" t="s">
        <v>309</v>
      </c>
      <c r="C76" s="76"/>
      <c r="D76" s="76"/>
      <c r="E76" s="70"/>
      <c r="F76" s="76"/>
    </row>
    <row r="77" spans="1:6" ht="16">
      <c r="A77" s="66" t="s">
        <v>270</v>
      </c>
      <c r="B77" s="70" t="s">
        <v>286</v>
      </c>
      <c r="C77" s="70" t="s">
        <v>310</v>
      </c>
      <c r="D77" s="12" t="s">
        <v>288</v>
      </c>
      <c r="E77" s="70" t="s">
        <v>289</v>
      </c>
      <c r="F77" s="76" t="s">
        <v>239</v>
      </c>
    </row>
    <row r="78" spans="1:6" ht="16">
      <c r="A78" s="66"/>
      <c r="B78" s="70"/>
      <c r="C78" s="70"/>
      <c r="D78" s="12" t="s">
        <v>311</v>
      </c>
      <c r="E78" s="70"/>
      <c r="F78" s="76"/>
    </row>
    <row r="79" spans="1:6" ht="16">
      <c r="A79" s="66"/>
      <c r="B79" s="12" t="s">
        <v>291</v>
      </c>
      <c r="C79" s="70"/>
      <c r="D79" s="12" t="s">
        <v>312</v>
      </c>
      <c r="E79" s="70"/>
      <c r="F79" s="76"/>
    </row>
    <row r="80" spans="1:6" ht="25.25" customHeight="1">
      <c r="A80" s="66" t="s">
        <v>313</v>
      </c>
      <c r="B80" s="70" t="s">
        <v>293</v>
      </c>
      <c r="C80" s="12" t="s">
        <v>288</v>
      </c>
      <c r="D80" s="12" t="s">
        <v>288</v>
      </c>
      <c r="E80" s="70" t="s">
        <v>294</v>
      </c>
      <c r="F80" s="76" t="s">
        <v>244</v>
      </c>
    </row>
    <row r="81" spans="1:6" ht="18">
      <c r="A81" s="66"/>
      <c r="B81" s="70"/>
      <c r="C81" s="12" t="s">
        <v>314</v>
      </c>
      <c r="D81" s="12" t="s">
        <v>315</v>
      </c>
      <c r="E81" s="70"/>
      <c r="F81" s="76"/>
    </row>
    <row r="82" spans="1:6" ht="18">
      <c r="A82" s="66"/>
      <c r="B82" s="70"/>
      <c r="C82" s="12" t="s">
        <v>316</v>
      </c>
      <c r="D82" s="12" t="s">
        <v>317</v>
      </c>
      <c r="E82" s="70"/>
      <c r="F82" s="76"/>
    </row>
    <row r="83" spans="1:6" ht="29" customHeight="1">
      <c r="A83" s="66" t="s">
        <v>318</v>
      </c>
      <c r="B83" s="12" t="s">
        <v>306</v>
      </c>
      <c r="C83" s="76" t="s">
        <v>319</v>
      </c>
      <c r="D83" s="76" t="s">
        <v>320</v>
      </c>
      <c r="E83" s="70" t="s">
        <v>289</v>
      </c>
      <c r="F83" s="76" t="s">
        <v>267</v>
      </c>
    </row>
    <row r="84" spans="1:6" ht="16">
      <c r="A84" s="66"/>
      <c r="B84" s="12" t="s">
        <v>309</v>
      </c>
      <c r="C84" s="76"/>
      <c r="D84" s="76"/>
      <c r="E84" s="70"/>
      <c r="F84" s="76"/>
    </row>
  </sheetData>
  <mergeCells count="65">
    <mergeCell ref="A7:F7"/>
    <mergeCell ref="A16:F16"/>
    <mergeCell ref="A28:A30"/>
    <mergeCell ref="B28:B30"/>
    <mergeCell ref="C28:C30"/>
    <mergeCell ref="E28:E30"/>
    <mergeCell ref="A31:A36"/>
    <mergeCell ref="B31:B36"/>
    <mergeCell ref="C31:C36"/>
    <mergeCell ref="E31:E36"/>
    <mergeCell ref="A37:A43"/>
    <mergeCell ref="B37:B43"/>
    <mergeCell ref="C37:C38"/>
    <mergeCell ref="E37:E43"/>
    <mergeCell ref="D42:D43"/>
    <mergeCell ref="E44:E47"/>
    <mergeCell ref="D46:D47"/>
    <mergeCell ref="A67:A69"/>
    <mergeCell ref="B67:B69"/>
    <mergeCell ref="E67:E69"/>
    <mergeCell ref="A48:A50"/>
    <mergeCell ref="B48:B50"/>
    <mergeCell ref="C48:C50"/>
    <mergeCell ref="E48:E50"/>
    <mergeCell ref="A44:A47"/>
    <mergeCell ref="B44:B47"/>
    <mergeCell ref="C44:C46"/>
    <mergeCell ref="F67:F69"/>
    <mergeCell ref="A51:A56"/>
    <mergeCell ref="B51:B56"/>
    <mergeCell ref="C51:C56"/>
    <mergeCell ref="E51:E56"/>
    <mergeCell ref="A57:A58"/>
    <mergeCell ref="B57:B58"/>
    <mergeCell ref="D57:D58"/>
    <mergeCell ref="E57:E58"/>
    <mergeCell ref="A64:A66"/>
    <mergeCell ref="B64:B65"/>
    <mergeCell ref="C64:C66"/>
    <mergeCell ref="E64:E66"/>
    <mergeCell ref="F64:F66"/>
    <mergeCell ref="A75:A76"/>
    <mergeCell ref="C75:C76"/>
    <mergeCell ref="D75:D76"/>
    <mergeCell ref="E75:E76"/>
    <mergeCell ref="F75:F76"/>
    <mergeCell ref="A70:A74"/>
    <mergeCell ref="E70:E74"/>
    <mergeCell ref="F70:F74"/>
    <mergeCell ref="C71:C74"/>
    <mergeCell ref="D71:D74"/>
    <mergeCell ref="C77:C79"/>
    <mergeCell ref="E77:E79"/>
    <mergeCell ref="F77:F79"/>
    <mergeCell ref="A83:A84"/>
    <mergeCell ref="C83:C84"/>
    <mergeCell ref="D83:D84"/>
    <mergeCell ref="E83:E84"/>
    <mergeCell ref="F83:F84"/>
    <mergeCell ref="A80:A82"/>
    <mergeCell ref="B80:B82"/>
    <mergeCell ref="E80:E82"/>
    <mergeCell ref="F80:F82"/>
    <mergeCell ref="A77:A79"/>
    <mergeCell ref="B77:B78"/>
  </mergeCells>
  <phoneticPr fontId="9" type="noConversion"/>
  <hyperlinks>
    <hyperlink ref="E28" r:id="rId1" location="bib105" display="https://www.sciencedirect.com/science/article/pii/S0013935118305577?casa_token=kRZKGj6YzzwAAAAA:BK-YdkbPd_fpsnCFwoASEte7aUNurDeVTlPEQLLvIeJnqm4nOgn4WOi3eeJ28f5HAqAD3ix8U-A - bib105" xr:uid="{F2ECA821-B2C6-4D3F-B45D-21BB108B08A9}"/>
    <hyperlink ref="E31" r:id="rId2" location="bib71" display="https://www.sciencedirect.com/science/article/pii/S0013935118305577?casa_token=kRZKGj6YzzwAAAAA:BK-YdkbPd_fpsnCFwoASEte7aUNurDeVTlPEQLLvIeJnqm4nOgn4WOi3eeJ28f5HAqAD3ix8U-A - bib71" xr:uid="{AE66ADF4-6B47-4B16-98DD-7BBA94DD8C6D}"/>
    <hyperlink ref="E37" r:id="rId3" location="bib12" display="https://www.sciencedirect.com/science/article/pii/S0013935118305577?casa_token=kRZKGj6YzzwAAAAA:BK-YdkbPd_fpsnCFwoASEte7aUNurDeVTlPEQLLvIeJnqm4nOgn4WOi3eeJ28f5HAqAD3ix8U-A - bib12" xr:uid="{C4E98618-D9B8-4CCB-B014-072605B688A6}"/>
    <hyperlink ref="E44" r:id="rId4" location="bib88" display="https://www.sciencedirect.com/science/article/pii/S0013935118305577?casa_token=kRZKGj6YzzwAAAAA:BK-YdkbPd_fpsnCFwoASEte7aUNurDeVTlPEQLLvIeJnqm4nOgn4WOi3eeJ28f5HAqAD3ix8U-A - bib88" xr:uid="{E8D9FE15-9386-44C1-A671-129F523D2289}"/>
    <hyperlink ref="E48" r:id="rId5" location="bib105" display="https://www.sciencedirect.com/science/article/pii/S0013935118305577?casa_token=kRZKGj6YzzwAAAAA:BK-YdkbPd_fpsnCFwoASEte7aUNurDeVTlPEQLLvIeJnqm4nOgn4WOi3eeJ28f5HAqAD3ix8U-A - bib105" xr:uid="{EDFA4879-708C-4FEC-8595-B492AA09A48F}"/>
    <hyperlink ref="E51" r:id="rId6" location="bib71" display="https://www.sciencedirect.com/science/article/pii/S0013935118305577?casa_token=kRZKGj6YzzwAAAAA:BK-YdkbPd_fpsnCFwoASEte7aUNurDeVTlPEQLLvIeJnqm4nOgn4WOi3eeJ28f5HAqAD3ix8U-A - bib71" xr:uid="{60A2B79D-5019-4ECA-90AF-1C8F6FBBF2C2}"/>
    <hyperlink ref="E57" r:id="rId7" location="bib88" display="https://www.sciencedirect.com/science/article/pii/S0013935118305577?casa_token=kRZKGj6YzzwAAAAA:BK-YdkbPd_fpsnCFwoASEte7aUNurDeVTlPEQLLvIeJnqm4nOgn4WOi3eeJ28f5HAqAD3ix8U-A - bib88" xr:uid="{00A5868C-BA31-4698-9173-134FC43A6467}"/>
    <hyperlink ref="A61" r:id="rId8" tooltip="Learn more about organic carbon from ScienceDirect's AI-generated Topic Pages" display="https://www.sciencedirect.com/topics/earth-and-planetary-sciences/organic-carbon" xr:uid="{847DAB2B-22F0-4818-B18B-5D994D331A6A}"/>
    <hyperlink ref="F64" r:id="rId9" location="bib105" display="https://www.sciencedirect.com/science/article/pii/S0013935118305577?casa_token=kRZKGj6YzzwAAAAA:BK-YdkbPd_fpsnCFwoASEte7aUNurDeVTlPEQLLvIeJnqm4nOgn4WOi3eeJ28f5HAqAD3ix8U-A - bib105" xr:uid="{626C7733-B31D-45F1-A7A4-C233419661C3}"/>
    <hyperlink ref="F67" r:id="rId10" location="bib71" display="https://www.sciencedirect.com/science/article/pii/S0013935118305577?casa_token=kRZKGj6YzzwAAAAA:BK-YdkbPd_fpsnCFwoASEte7aUNurDeVTlPEQLLvIeJnqm4nOgn4WOi3eeJ28f5HAqAD3ix8U-A - bib71" xr:uid="{88B9FBF6-F36E-40D2-B796-6F3CEA03238F}"/>
    <hyperlink ref="F70" r:id="rId11" location="bib12" display="https://www.sciencedirect.com/science/article/pii/S0013935118305577?casa_token=kRZKGj6YzzwAAAAA:BK-YdkbPd_fpsnCFwoASEte7aUNurDeVTlPEQLLvIeJnqm4nOgn4WOi3eeJ28f5HAqAD3ix8U-A - bib12" xr:uid="{4F5C7C7F-F7B1-42E0-80B9-2756F261B121}"/>
    <hyperlink ref="C75" r:id="rId12" location="tbl3fnb" display="https://www.sciencedirect.com/science/article/pii/S0013935118305577?casa_token=kRZKGj6YzzwAAAAA:BK-YdkbPd_fpsnCFwoASEte7aUNurDeVTlPEQLLvIeJnqm4nOgn4WOi3eeJ28f5HAqAD3ix8U-A - tbl3fnb" xr:uid="{57CDD029-5D4B-42C6-A6FC-23F1BC381D02}"/>
    <hyperlink ref="D75" r:id="rId13" location="tbl3fnb" display="https://www.sciencedirect.com/science/article/pii/S0013935118305577?casa_token=kRZKGj6YzzwAAAAA:BK-YdkbPd_fpsnCFwoASEte7aUNurDeVTlPEQLLvIeJnqm4nOgn4WOi3eeJ28f5HAqAD3ix8U-A - tbl3fnb" xr:uid="{EE8E98A4-6A3C-42F7-BC84-47F6C3E27852}"/>
    <hyperlink ref="F75" r:id="rId14" location="bib88" display="https://www.sciencedirect.com/science/article/pii/S0013935118305577?casa_token=kRZKGj6YzzwAAAAA:BK-YdkbPd_fpsnCFwoASEte7aUNurDeVTlPEQLLvIeJnqm4nOgn4WOi3eeJ28f5HAqAD3ix8U-A - bib88" xr:uid="{30410F03-4008-4502-824D-E295917DC336}"/>
    <hyperlink ref="F77" r:id="rId15" location="bib105" display="https://www.sciencedirect.com/science/article/pii/S0013935118305577?casa_token=kRZKGj6YzzwAAAAA:BK-YdkbPd_fpsnCFwoASEte7aUNurDeVTlPEQLLvIeJnqm4nOgn4WOi3eeJ28f5HAqAD3ix8U-A - bib105" xr:uid="{2153E877-E735-4953-BEA3-A820E5511588}"/>
    <hyperlink ref="F80" r:id="rId16" location="bib71" display="https://www.sciencedirect.com/science/article/pii/S0013935118305577?casa_token=kRZKGj6YzzwAAAAA:BK-YdkbPd_fpsnCFwoASEte7aUNurDeVTlPEQLLvIeJnqm4nOgn4WOi3eeJ28f5HAqAD3ix8U-A - bib71" xr:uid="{5FA5B451-A7C6-4FBC-8FC2-1B8820FD579F}"/>
    <hyperlink ref="C83" r:id="rId17" location="tbl3fnb" display="https://www.sciencedirect.com/science/article/pii/S0013935118305577?casa_token=kRZKGj6YzzwAAAAA:BK-YdkbPd_fpsnCFwoASEte7aUNurDeVTlPEQLLvIeJnqm4nOgn4WOi3eeJ28f5HAqAD3ix8U-A - tbl3fnb" xr:uid="{94309541-8806-4275-B05F-05EEB62B678E}"/>
    <hyperlink ref="D83" r:id="rId18" location="tbl3fnb" display="https://www.sciencedirect.com/science/article/pii/S0013935118305577?casa_token=kRZKGj6YzzwAAAAA:BK-YdkbPd_fpsnCFwoASEte7aUNurDeVTlPEQLLvIeJnqm4nOgn4WOi3eeJ28f5HAqAD3ix8U-A - tbl3fnb" xr:uid="{812E23F6-BEA4-4B0F-B28D-74B243D3FBE0}"/>
    <hyperlink ref="F83" r:id="rId19" location="bib88" display="https://www.sciencedirect.com/science/article/pii/S0013935118305577?casa_token=kRZKGj6YzzwAAAAA:BK-YdkbPd_fpsnCFwoASEte7aUNurDeVTlPEQLLvIeJnqm4nOgn4WOi3eeJ28f5HAqAD3ix8U-A - bib88" xr:uid="{4F3C6DEC-9FF2-4920-9F5D-FFF6766DAFA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726DF-2C64-4E5F-B7AB-C3748EE2A8D0}">
  <dimension ref="A1:F56"/>
  <sheetViews>
    <sheetView workbookViewId="0"/>
  </sheetViews>
  <sheetFormatPr baseColWidth="10" defaultColWidth="8.83203125" defaultRowHeight="15"/>
  <cols>
    <col min="1" max="1" width="14.83203125" customWidth="1"/>
    <col min="2" max="2" width="14.33203125" customWidth="1"/>
    <col min="3" max="3" width="27.5" customWidth="1"/>
    <col min="4" max="4" width="32.33203125" customWidth="1"/>
    <col min="5" max="5" width="13.33203125" customWidth="1"/>
  </cols>
  <sheetData>
    <row r="1" spans="1:5">
      <c r="A1" t="s">
        <v>228</v>
      </c>
    </row>
    <row r="2" spans="1:5">
      <c r="A2" t="s">
        <v>229</v>
      </c>
    </row>
    <row r="3" spans="1:5">
      <c r="A3" s="26" t="s">
        <v>230</v>
      </c>
      <c r="B3" s="26" t="s">
        <v>231</v>
      </c>
      <c r="C3" s="26" t="s">
        <v>232</v>
      </c>
      <c r="D3" s="26" t="s">
        <v>233</v>
      </c>
      <c r="E3" s="26" t="s">
        <v>234</v>
      </c>
    </row>
    <row r="4" spans="1:5">
      <c r="A4" s="77" t="s">
        <v>321</v>
      </c>
      <c r="B4" s="78" t="s">
        <v>236</v>
      </c>
      <c r="C4" s="78" t="s">
        <v>237</v>
      </c>
      <c r="D4" s="27" t="s">
        <v>238</v>
      </c>
      <c r="E4" s="79" t="s">
        <v>239</v>
      </c>
    </row>
    <row r="5" spans="1:5">
      <c r="A5" s="77"/>
      <c r="B5" s="78"/>
      <c r="C5" s="78"/>
      <c r="D5" s="27" t="s">
        <v>322</v>
      </c>
      <c r="E5" s="79"/>
    </row>
    <row r="6" spans="1:5">
      <c r="A6" s="77"/>
      <c r="B6" s="78"/>
      <c r="C6" s="78"/>
      <c r="D6" s="27" t="s">
        <v>323</v>
      </c>
      <c r="E6" s="79"/>
    </row>
    <row r="7" spans="1:5">
      <c r="A7" s="77" t="s">
        <v>321</v>
      </c>
      <c r="B7" s="78" t="s">
        <v>251</v>
      </c>
      <c r="C7" s="78" t="s">
        <v>324</v>
      </c>
      <c r="D7" s="27" t="s">
        <v>325</v>
      </c>
      <c r="E7" s="79" t="s">
        <v>326</v>
      </c>
    </row>
    <row r="8" spans="1:5">
      <c r="A8" s="77"/>
      <c r="B8" s="78"/>
      <c r="C8" s="78"/>
      <c r="D8" s="27" t="s">
        <v>327</v>
      </c>
      <c r="E8" s="79"/>
    </row>
    <row r="9" spans="1:5">
      <c r="A9" s="77"/>
      <c r="B9" s="78"/>
      <c r="C9" s="27" t="s">
        <v>328</v>
      </c>
      <c r="D9" s="27" t="s">
        <v>329</v>
      </c>
      <c r="E9" s="79"/>
    </row>
    <row r="10" spans="1:5">
      <c r="A10" s="77"/>
      <c r="B10" s="78"/>
      <c r="C10" s="27" t="s">
        <v>330</v>
      </c>
      <c r="D10" s="27" t="s">
        <v>331</v>
      </c>
      <c r="E10" s="79"/>
    </row>
    <row r="11" spans="1:5">
      <c r="A11" s="77"/>
      <c r="B11" s="78"/>
      <c r="C11" s="27" t="s">
        <v>332</v>
      </c>
      <c r="D11" s="27" t="s">
        <v>333</v>
      </c>
      <c r="E11" s="79"/>
    </row>
    <row r="12" spans="1:5">
      <c r="A12" s="77"/>
      <c r="B12" s="78"/>
      <c r="C12" s="27" t="s">
        <v>334</v>
      </c>
      <c r="D12" s="78" t="s">
        <v>335</v>
      </c>
      <c r="E12" s="79"/>
    </row>
    <row r="13" spans="1:5">
      <c r="A13" s="77"/>
      <c r="B13" s="78"/>
      <c r="C13" s="27" t="s">
        <v>336</v>
      </c>
      <c r="D13" s="78"/>
      <c r="E13" s="79"/>
    </row>
    <row r="14" spans="1:5">
      <c r="A14" s="77" t="s">
        <v>337</v>
      </c>
      <c r="B14" s="78" t="s">
        <v>236</v>
      </c>
      <c r="C14" s="78" t="s">
        <v>237</v>
      </c>
      <c r="D14" s="27" t="s">
        <v>238</v>
      </c>
      <c r="E14" s="79" t="s">
        <v>239</v>
      </c>
    </row>
    <row r="15" spans="1:5">
      <c r="A15" s="77"/>
      <c r="B15" s="78"/>
      <c r="C15" s="78"/>
      <c r="D15" s="27" t="s">
        <v>338</v>
      </c>
      <c r="E15" s="79"/>
    </row>
    <row r="16" spans="1:5">
      <c r="A16" s="77"/>
      <c r="B16" s="78"/>
      <c r="C16" s="78"/>
      <c r="D16" s="27" t="s">
        <v>339</v>
      </c>
      <c r="E16" s="79"/>
    </row>
    <row r="17" spans="1:5">
      <c r="A17" s="77" t="s">
        <v>337</v>
      </c>
      <c r="B17" s="78" t="s">
        <v>251</v>
      </c>
      <c r="C17" s="78" t="s">
        <v>324</v>
      </c>
      <c r="D17" s="27" t="s">
        <v>325</v>
      </c>
      <c r="E17" s="79" t="s">
        <v>326</v>
      </c>
    </row>
    <row r="18" spans="1:5">
      <c r="A18" s="77"/>
      <c r="B18" s="78"/>
      <c r="C18" s="78"/>
      <c r="D18" s="27" t="s">
        <v>340</v>
      </c>
      <c r="E18" s="79"/>
    </row>
    <row r="19" spans="1:5">
      <c r="A19" s="77"/>
      <c r="B19" s="78"/>
      <c r="C19" s="27" t="s">
        <v>328</v>
      </c>
      <c r="D19" s="27" t="s">
        <v>341</v>
      </c>
      <c r="E19" s="79"/>
    </row>
    <row r="20" spans="1:5">
      <c r="A20" s="77"/>
      <c r="B20" s="78"/>
      <c r="C20" s="27" t="s">
        <v>330</v>
      </c>
      <c r="D20" s="27" t="s">
        <v>342</v>
      </c>
      <c r="E20" s="79"/>
    </row>
    <row r="21" spans="1:5">
      <c r="A21" s="77"/>
      <c r="B21" s="78"/>
      <c r="C21" s="27" t="s">
        <v>332</v>
      </c>
      <c r="D21" s="27" t="s">
        <v>343</v>
      </c>
      <c r="E21" s="79"/>
    </row>
    <row r="22" spans="1:5">
      <c r="A22" s="77"/>
      <c r="B22" s="78"/>
      <c r="C22" s="27" t="s">
        <v>334</v>
      </c>
      <c r="D22" s="78" t="s">
        <v>344</v>
      </c>
      <c r="E22" s="79"/>
    </row>
    <row r="23" spans="1:5">
      <c r="A23" s="77"/>
      <c r="B23" s="78"/>
      <c r="C23" s="27" t="s">
        <v>336</v>
      </c>
      <c r="D23" s="78"/>
      <c r="E23" s="79"/>
    </row>
    <row r="24" spans="1:5">
      <c r="A24" s="77" t="s">
        <v>345</v>
      </c>
      <c r="B24" s="78" t="s">
        <v>251</v>
      </c>
      <c r="C24" s="78" t="s">
        <v>324</v>
      </c>
      <c r="D24" s="27" t="s">
        <v>325</v>
      </c>
      <c r="E24" s="79" t="s">
        <v>326</v>
      </c>
    </row>
    <row r="25" spans="1:5">
      <c r="A25" s="77"/>
      <c r="B25" s="78"/>
      <c r="C25" s="78"/>
      <c r="D25" s="27" t="s">
        <v>346</v>
      </c>
      <c r="E25" s="79"/>
    </row>
    <row r="26" spans="1:5">
      <c r="A26" s="77"/>
      <c r="B26" s="78"/>
      <c r="C26" s="27" t="s">
        <v>328</v>
      </c>
      <c r="D26" s="27" t="s">
        <v>341</v>
      </c>
      <c r="E26" s="79"/>
    </row>
    <row r="27" spans="1:5">
      <c r="A27" s="77"/>
      <c r="B27" s="78"/>
      <c r="C27" s="27" t="s">
        <v>330</v>
      </c>
      <c r="D27" s="27" t="s">
        <v>347</v>
      </c>
      <c r="E27" s="79"/>
    </row>
    <row r="28" spans="1:5">
      <c r="A28" s="77"/>
      <c r="B28" s="78"/>
      <c r="C28" s="27" t="s">
        <v>332</v>
      </c>
      <c r="D28" s="27" t="s">
        <v>348</v>
      </c>
      <c r="E28" s="79"/>
    </row>
    <row r="29" spans="1:5">
      <c r="A29" s="77"/>
      <c r="B29" s="78"/>
      <c r="C29" s="27" t="s">
        <v>334</v>
      </c>
      <c r="D29" s="78" t="s">
        <v>349</v>
      </c>
      <c r="E29" s="79"/>
    </row>
    <row r="30" spans="1:5">
      <c r="A30" s="77"/>
      <c r="B30" s="78"/>
      <c r="C30" s="27" t="s">
        <v>336</v>
      </c>
      <c r="D30" s="78"/>
      <c r="E30" s="79"/>
    </row>
    <row r="31" spans="1:5">
      <c r="A31" s="26"/>
      <c r="B31" s="27"/>
      <c r="C31" s="27"/>
      <c r="D31" s="27"/>
      <c r="E31" s="28"/>
    </row>
    <row r="32" spans="1:5">
      <c r="A32" t="s">
        <v>228</v>
      </c>
    </row>
    <row r="33" spans="1:6">
      <c r="A33" s="18" t="s">
        <v>280</v>
      </c>
    </row>
    <row r="34" spans="1:6" ht="64">
      <c r="A34" s="24" t="s">
        <v>281</v>
      </c>
      <c r="B34" s="24" t="s">
        <v>282</v>
      </c>
      <c r="C34" s="24" t="s">
        <v>283</v>
      </c>
      <c r="D34" s="24" t="s">
        <v>284</v>
      </c>
      <c r="E34" s="24" t="s">
        <v>285</v>
      </c>
      <c r="F34" s="24" t="s">
        <v>234</v>
      </c>
    </row>
    <row r="35" spans="1:6" ht="16">
      <c r="A35" s="70" t="s">
        <v>286</v>
      </c>
      <c r="B35" s="70"/>
      <c r="C35" s="12" t="s">
        <v>288</v>
      </c>
      <c r="D35" s="70" t="s">
        <v>289</v>
      </c>
      <c r="E35" s="76" t="s">
        <v>239</v>
      </c>
    </row>
    <row r="36" spans="1:6" ht="16">
      <c r="A36" s="70"/>
      <c r="B36" s="70"/>
      <c r="C36" s="12" t="s">
        <v>350</v>
      </c>
      <c r="D36" s="70"/>
      <c r="E36" s="76"/>
    </row>
    <row r="37" spans="1:6" ht="16">
      <c r="A37" s="12" t="s">
        <v>291</v>
      </c>
      <c r="B37" s="70"/>
      <c r="C37" s="12" t="s">
        <v>351</v>
      </c>
      <c r="D37" s="70"/>
      <c r="E37" s="76"/>
    </row>
    <row r="38" spans="1:6" ht="16">
      <c r="A38" s="66" t="s">
        <v>321</v>
      </c>
      <c r="B38" s="70" t="s">
        <v>352</v>
      </c>
      <c r="C38" s="12" t="s">
        <v>353</v>
      </c>
      <c r="D38" s="12" t="s">
        <v>354</v>
      </c>
      <c r="E38" s="70" t="s">
        <v>355</v>
      </c>
      <c r="F38" s="76" t="s">
        <v>326</v>
      </c>
    </row>
    <row r="39" spans="1:6">
      <c r="A39" s="66"/>
      <c r="B39" s="70"/>
      <c r="C39" s="70" t="s">
        <v>356</v>
      </c>
      <c r="D39" s="70" t="s">
        <v>357</v>
      </c>
      <c r="E39" s="70"/>
      <c r="F39" s="76"/>
    </row>
    <row r="40" spans="1:6" ht="16">
      <c r="A40" s="66"/>
      <c r="B40" s="12" t="s">
        <v>330</v>
      </c>
      <c r="C40" s="70"/>
      <c r="D40" s="70"/>
      <c r="E40" s="70"/>
      <c r="F40" s="76"/>
    </row>
    <row r="41" spans="1:6" ht="16">
      <c r="A41" s="66"/>
      <c r="B41" s="12" t="s">
        <v>332</v>
      </c>
      <c r="C41" s="70"/>
      <c r="D41" s="70"/>
      <c r="E41" s="70"/>
      <c r="F41" s="76"/>
    </row>
    <row r="42" spans="1:6" ht="16">
      <c r="A42" s="66"/>
      <c r="B42" s="12" t="s">
        <v>334</v>
      </c>
      <c r="C42" s="70"/>
      <c r="D42" s="70"/>
      <c r="E42" s="70"/>
      <c r="F42" s="76"/>
    </row>
    <row r="43" spans="1:6" ht="16">
      <c r="A43" s="66"/>
      <c r="B43" s="12" t="s">
        <v>336</v>
      </c>
      <c r="C43" s="70"/>
      <c r="D43" s="70"/>
      <c r="E43" s="70"/>
      <c r="F43" s="76"/>
    </row>
    <row r="44" spans="1:6" ht="16">
      <c r="A44" s="66" t="s">
        <v>337</v>
      </c>
      <c r="B44" s="70" t="s">
        <v>286</v>
      </c>
      <c r="C44" s="70" t="s">
        <v>358</v>
      </c>
      <c r="D44" s="12" t="s">
        <v>288</v>
      </c>
      <c r="E44" s="70" t="s">
        <v>289</v>
      </c>
      <c r="F44" s="76" t="s">
        <v>239</v>
      </c>
    </row>
    <row r="45" spans="1:6" ht="16">
      <c r="A45" s="66"/>
      <c r="B45" s="70"/>
      <c r="C45" s="70"/>
      <c r="D45" s="12" t="s">
        <v>359</v>
      </c>
      <c r="E45" s="70"/>
      <c r="F45" s="76"/>
    </row>
    <row r="46" spans="1:6" ht="16">
      <c r="A46" s="66"/>
      <c r="B46" s="12" t="s">
        <v>291</v>
      </c>
      <c r="C46" s="70"/>
      <c r="D46" s="12" t="s">
        <v>317</v>
      </c>
      <c r="E46" s="70"/>
      <c r="F46" s="76"/>
    </row>
    <row r="47" spans="1:6" ht="48">
      <c r="A47" s="66" t="s">
        <v>337</v>
      </c>
      <c r="B47" s="12" t="s">
        <v>352</v>
      </c>
      <c r="C47" s="12" t="s">
        <v>360</v>
      </c>
      <c r="D47" s="12" t="s">
        <v>361</v>
      </c>
      <c r="E47" s="12" t="s">
        <v>355</v>
      </c>
      <c r="F47" s="25" t="s">
        <v>326</v>
      </c>
    </row>
    <row r="48" spans="1:6" ht="16">
      <c r="A48" s="66"/>
      <c r="B48" s="12" t="s">
        <v>330</v>
      </c>
      <c r="C48" s="70" t="s">
        <v>304</v>
      </c>
      <c r="D48" s="70" t="s">
        <v>362</v>
      </c>
      <c r="E48" s="70"/>
      <c r="F48" s="70"/>
    </row>
    <row r="49" spans="1:6" ht="16">
      <c r="A49" s="66"/>
      <c r="B49" s="12" t="s">
        <v>332</v>
      </c>
      <c r="C49" s="70"/>
      <c r="D49" s="70"/>
      <c r="E49" s="70"/>
      <c r="F49" s="70"/>
    </row>
    <row r="50" spans="1:6" ht="16">
      <c r="A50" s="66"/>
      <c r="B50" s="12" t="s">
        <v>334</v>
      </c>
      <c r="C50" s="70"/>
      <c r="D50" s="70"/>
      <c r="E50" s="70"/>
      <c r="F50" s="70"/>
    </row>
    <row r="51" spans="1:6" ht="16">
      <c r="A51" s="66"/>
      <c r="B51" s="12" t="s">
        <v>336</v>
      </c>
      <c r="C51" s="70"/>
      <c r="D51" s="70"/>
      <c r="E51" s="70"/>
      <c r="F51" s="70"/>
    </row>
    <row r="52" spans="1:6" ht="48">
      <c r="A52" s="66" t="s">
        <v>363</v>
      </c>
      <c r="B52" s="12" t="s">
        <v>352</v>
      </c>
      <c r="C52" s="12" t="s">
        <v>364</v>
      </c>
      <c r="D52" s="12" t="s">
        <v>365</v>
      </c>
      <c r="E52" s="70" t="s">
        <v>355</v>
      </c>
      <c r="F52" s="76" t="s">
        <v>326</v>
      </c>
    </row>
    <row r="53" spans="1:6" ht="16">
      <c r="A53" s="66"/>
      <c r="B53" s="12" t="s">
        <v>330</v>
      </c>
      <c r="C53" s="70" t="s">
        <v>304</v>
      </c>
      <c r="D53" s="70" t="s">
        <v>366</v>
      </c>
      <c r="E53" s="70"/>
      <c r="F53" s="76"/>
    </row>
    <row r="54" spans="1:6" ht="16">
      <c r="A54" s="66"/>
      <c r="B54" s="12" t="s">
        <v>332</v>
      </c>
      <c r="C54" s="70"/>
      <c r="D54" s="70"/>
      <c r="E54" s="70"/>
      <c r="F54" s="76"/>
    </row>
    <row r="55" spans="1:6" ht="16">
      <c r="A55" s="66"/>
      <c r="B55" s="12" t="s">
        <v>334</v>
      </c>
      <c r="C55" s="70"/>
      <c r="D55" s="70"/>
      <c r="E55" s="70"/>
      <c r="F55" s="76"/>
    </row>
    <row r="56" spans="1:6" ht="16">
      <c r="A56" s="66"/>
      <c r="B56" s="12" t="s">
        <v>336</v>
      </c>
      <c r="C56" s="70"/>
      <c r="D56" s="70"/>
      <c r="E56" s="70"/>
      <c r="F56" s="76"/>
    </row>
  </sheetData>
  <mergeCells count="48">
    <mergeCell ref="A4:A6"/>
    <mergeCell ref="B4:B6"/>
    <mergeCell ref="C4:C6"/>
    <mergeCell ref="E4:E6"/>
    <mergeCell ref="A7:A13"/>
    <mergeCell ref="B7:B13"/>
    <mergeCell ref="C7:C8"/>
    <mergeCell ref="E7:E13"/>
    <mergeCell ref="D12:D13"/>
    <mergeCell ref="A14:A16"/>
    <mergeCell ref="B14:B16"/>
    <mergeCell ref="C14:C16"/>
    <mergeCell ref="E14:E16"/>
    <mergeCell ref="A17:A23"/>
    <mergeCell ref="B17:B23"/>
    <mergeCell ref="C17:C18"/>
    <mergeCell ref="E17:E23"/>
    <mergeCell ref="D22:D23"/>
    <mergeCell ref="E24:E30"/>
    <mergeCell ref="D29:D30"/>
    <mergeCell ref="A38:A43"/>
    <mergeCell ref="B38:B39"/>
    <mergeCell ref="E38:E43"/>
    <mergeCell ref="A35:A36"/>
    <mergeCell ref="B35:B37"/>
    <mergeCell ref="D35:D37"/>
    <mergeCell ref="E35:E37"/>
    <mergeCell ref="A24:A30"/>
    <mergeCell ref="B24:B30"/>
    <mergeCell ref="C24:C25"/>
    <mergeCell ref="F38:F43"/>
    <mergeCell ref="C39:C43"/>
    <mergeCell ref="D39:D43"/>
    <mergeCell ref="A47:A51"/>
    <mergeCell ref="C48:C51"/>
    <mergeCell ref="D48:D51"/>
    <mergeCell ref="E48:E51"/>
    <mergeCell ref="F48:F51"/>
    <mergeCell ref="A44:A46"/>
    <mergeCell ref="B44:B45"/>
    <mergeCell ref="C44:C46"/>
    <mergeCell ref="E44:E46"/>
    <mergeCell ref="F44:F46"/>
    <mergeCell ref="A52:A56"/>
    <mergeCell ref="E52:E56"/>
    <mergeCell ref="F52:F56"/>
    <mergeCell ref="C53:C56"/>
    <mergeCell ref="D53:D56"/>
  </mergeCells>
  <phoneticPr fontId="9" type="noConversion"/>
  <hyperlinks>
    <hyperlink ref="E4" r:id="rId1" location="bib105" display="https://www.sciencedirect.com/science/article/pii/S0013935118305577?casa_token=kRZKGj6YzzwAAAAA:BK-YdkbPd_fpsnCFwoASEte7aUNurDeVTlPEQLLvIeJnqm4nOgn4WOi3eeJ28f5HAqAD3ix8U-A - bib105" xr:uid="{B756AE87-104A-48B0-AC46-76ECDDBD76A7}"/>
    <hyperlink ref="E7" r:id="rId2" location="bib120" display="https://www.sciencedirect.com/science/article/pii/S0013935118305577?casa_token=kRZKGj6YzzwAAAAA:BK-YdkbPd_fpsnCFwoASEte7aUNurDeVTlPEQLLvIeJnqm4nOgn4WOi3eeJ28f5HAqAD3ix8U-A - bib120" xr:uid="{DC9AE1C9-3E5D-4F0D-AEAC-51311C567E38}"/>
    <hyperlink ref="E14" r:id="rId3" location="bib105" display="https://www.sciencedirect.com/science/article/pii/S0013935118305577?casa_token=kRZKGj6YzzwAAAAA:BK-YdkbPd_fpsnCFwoASEte7aUNurDeVTlPEQLLvIeJnqm4nOgn4WOi3eeJ28f5HAqAD3ix8U-A - bib105" xr:uid="{BCF0887D-2036-4BD3-9364-5DA3EB87277F}"/>
    <hyperlink ref="E17" r:id="rId4" location="bib120" display="https://www.sciencedirect.com/science/article/pii/S0013935118305577?casa_token=kRZKGj6YzzwAAAAA:BK-YdkbPd_fpsnCFwoASEte7aUNurDeVTlPEQLLvIeJnqm4nOgn4WOi3eeJ28f5HAqAD3ix8U-A - bib120" xr:uid="{31549314-2649-46F4-A80B-250E7B29B6B0}"/>
    <hyperlink ref="E24" r:id="rId5" location="bib120" display="https://www.sciencedirect.com/science/article/pii/S0013935118305577?casa_token=kRZKGj6YzzwAAAAA:BK-YdkbPd_fpsnCFwoASEte7aUNurDeVTlPEQLLvIeJnqm4nOgn4WOi3eeJ28f5HAqAD3ix8U-A - bib120" xr:uid="{3C097118-8B34-4C3C-B334-45B5893CAF34}"/>
    <hyperlink ref="E35" r:id="rId6" location="bib105" display="https://www.sciencedirect.com/science/article/pii/S0013935118305577?casa_token=kRZKGj6YzzwAAAAA:BK-YdkbPd_fpsnCFwoASEte7aUNurDeVTlPEQLLvIeJnqm4nOgn4WOi3eeJ28f5HAqAD3ix8U-A - bib105" xr:uid="{E4A34C2C-64F1-442C-9911-32EF888B1686}"/>
    <hyperlink ref="F38" r:id="rId7" location="bib120" display="https://www.sciencedirect.com/science/article/pii/S0013935118305577?casa_token=kRZKGj6YzzwAAAAA:BK-YdkbPd_fpsnCFwoASEte7aUNurDeVTlPEQLLvIeJnqm4nOgn4WOi3eeJ28f5HAqAD3ix8U-A - bib120" xr:uid="{828F3A0F-3CAF-42C0-A6EF-271EE818C9EC}"/>
    <hyperlink ref="F44" r:id="rId8" location="bib105" display="https://www.sciencedirect.com/science/article/pii/S0013935118305577?casa_token=kRZKGj6YzzwAAAAA:BK-YdkbPd_fpsnCFwoASEte7aUNurDeVTlPEQLLvIeJnqm4nOgn4WOi3eeJ28f5HAqAD3ix8U-A - bib105" xr:uid="{F0D4FED4-652C-4E0D-B4D1-4A82D2B9CAE0}"/>
    <hyperlink ref="F47" r:id="rId9" location="bib120" display="https://www.sciencedirect.com/science/article/pii/S0013935118305577?casa_token=kRZKGj6YzzwAAAAA:BK-YdkbPd_fpsnCFwoASEte7aUNurDeVTlPEQLLvIeJnqm4nOgn4WOi3eeJ28f5HAqAD3ix8U-A - bib120" xr:uid="{542F377A-0A5C-4458-B249-503CAB0E04EA}"/>
    <hyperlink ref="F52" r:id="rId10" location="bib120" display="https://www.sciencedirect.com/science/article/pii/S0013935118305577?casa_token=kRZKGj6YzzwAAAAA:BK-YdkbPd_fpsnCFwoASEte7aUNurDeVTlPEQLLvIeJnqm4nOgn4WOi3eeJ28f5HAqAD3ix8U-A - bib120" xr:uid="{AAE8B3F3-3D3C-431A-81DB-BCEB26DCCE03}"/>
    <hyperlink ref="A33" r:id="rId11" tooltip="Learn more about organic carbon from ScienceDirect's AI-generated Topic Pages" display="https://www.sciencedirect.com/topics/earth-and-planetary-sciences/organic-carbon" xr:uid="{A225AD22-945E-42D5-BD74-C087F49834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B4967-342C-4440-9C72-AAD241A3CAB7}">
  <dimension ref="A2:O17"/>
  <sheetViews>
    <sheetView workbookViewId="0">
      <selection activeCell="A2" sqref="A2"/>
    </sheetView>
  </sheetViews>
  <sheetFormatPr baseColWidth="10" defaultColWidth="8.83203125" defaultRowHeight="15"/>
  <cols>
    <col min="1" max="1" width="16.33203125" customWidth="1"/>
  </cols>
  <sheetData>
    <row r="2" spans="1:15">
      <c r="A2" t="s">
        <v>367</v>
      </c>
    </row>
    <row r="3" spans="1:15">
      <c r="A3" t="s">
        <v>368</v>
      </c>
    </row>
    <row r="4" spans="1:15">
      <c r="B4" t="s">
        <v>94</v>
      </c>
      <c r="C4" t="s">
        <v>369</v>
      </c>
      <c r="D4" t="s">
        <v>12</v>
      </c>
      <c r="E4" t="s">
        <v>13</v>
      </c>
      <c r="F4" t="s">
        <v>370</v>
      </c>
      <c r="G4" t="s">
        <v>371</v>
      </c>
      <c r="H4" t="s">
        <v>372</v>
      </c>
      <c r="I4" t="s">
        <v>373</v>
      </c>
      <c r="J4" t="s">
        <v>374</v>
      </c>
      <c r="K4" t="s">
        <v>375</v>
      </c>
      <c r="L4" t="s">
        <v>376</v>
      </c>
      <c r="M4" t="s">
        <v>377</v>
      </c>
      <c r="N4" t="s">
        <v>378</v>
      </c>
      <c r="O4" t="s">
        <v>14</v>
      </c>
    </row>
    <row r="5" spans="1:15">
      <c r="A5" t="s">
        <v>379</v>
      </c>
      <c r="B5" s="3">
        <v>20607</v>
      </c>
      <c r="C5">
        <v>99.5</v>
      </c>
      <c r="D5">
        <v>6.7</v>
      </c>
      <c r="E5">
        <v>0.1</v>
      </c>
      <c r="F5">
        <v>0.01</v>
      </c>
      <c r="G5">
        <v>0.2</v>
      </c>
      <c r="H5">
        <v>0.4</v>
      </c>
      <c r="I5">
        <v>1.2</v>
      </c>
      <c r="J5">
        <v>3.2</v>
      </c>
      <c r="K5">
        <v>7.3</v>
      </c>
      <c r="L5">
        <v>16.100000000000001</v>
      </c>
      <c r="M5">
        <v>25.4</v>
      </c>
      <c r="N5">
        <v>52.1</v>
      </c>
      <c r="O5">
        <v>223</v>
      </c>
    </row>
    <row r="6" spans="1:15">
      <c r="A6" t="s">
        <v>380</v>
      </c>
      <c r="B6" s="3">
        <v>1486</v>
      </c>
      <c r="C6">
        <v>79.5</v>
      </c>
      <c r="D6">
        <v>12.6</v>
      </c>
      <c r="E6">
        <v>0.9</v>
      </c>
      <c r="F6">
        <v>0</v>
      </c>
      <c r="G6">
        <v>0</v>
      </c>
      <c r="H6">
        <v>0</v>
      </c>
      <c r="I6">
        <v>1</v>
      </c>
      <c r="J6">
        <v>8</v>
      </c>
      <c r="K6">
        <v>14.1</v>
      </c>
      <c r="L6">
        <v>24.1</v>
      </c>
      <c r="M6">
        <v>48.7</v>
      </c>
      <c r="N6">
        <v>127</v>
      </c>
      <c r="O6">
        <v>186</v>
      </c>
    </row>
    <row r="7" spans="1:15">
      <c r="A7" t="s">
        <v>381</v>
      </c>
      <c r="B7" s="3">
        <v>2096</v>
      </c>
      <c r="C7">
        <v>99.8</v>
      </c>
      <c r="D7">
        <v>36.700000000000003</v>
      </c>
      <c r="E7">
        <v>0.7</v>
      </c>
      <c r="F7">
        <v>0.4</v>
      </c>
      <c r="G7">
        <v>3.9</v>
      </c>
      <c r="H7">
        <v>7.7</v>
      </c>
      <c r="I7">
        <v>17.399999999999999</v>
      </c>
      <c r="J7">
        <v>31.3</v>
      </c>
      <c r="K7">
        <v>49.8</v>
      </c>
      <c r="L7">
        <v>72.099999999999994</v>
      </c>
      <c r="M7">
        <v>88.3</v>
      </c>
      <c r="N7">
        <v>126</v>
      </c>
      <c r="O7">
        <v>223</v>
      </c>
    </row>
    <row r="8" spans="1:15">
      <c r="A8" t="s">
        <v>382</v>
      </c>
      <c r="B8" s="3">
        <v>4391</v>
      </c>
      <c r="C8">
        <v>100</v>
      </c>
      <c r="D8">
        <v>23.3</v>
      </c>
      <c r="E8">
        <v>0.3</v>
      </c>
      <c r="F8">
        <v>1.1000000000000001</v>
      </c>
      <c r="G8">
        <v>4.2</v>
      </c>
      <c r="H8">
        <v>7</v>
      </c>
      <c r="I8">
        <v>13</v>
      </c>
      <c r="J8">
        <v>20.8</v>
      </c>
      <c r="K8">
        <v>30.9</v>
      </c>
      <c r="L8">
        <v>42</v>
      </c>
      <c r="M8">
        <v>49.4</v>
      </c>
      <c r="N8">
        <v>67.7</v>
      </c>
      <c r="O8">
        <v>198</v>
      </c>
    </row>
    <row r="9" spans="1:15">
      <c r="A9" t="s">
        <v>383</v>
      </c>
      <c r="B9" s="3">
        <v>2089</v>
      </c>
      <c r="C9">
        <v>100</v>
      </c>
      <c r="D9">
        <v>13.6</v>
      </c>
      <c r="E9">
        <v>0.4</v>
      </c>
      <c r="F9">
        <v>0.3</v>
      </c>
      <c r="G9">
        <v>1.8</v>
      </c>
      <c r="H9">
        <v>3.5</v>
      </c>
      <c r="I9">
        <v>6.7</v>
      </c>
      <c r="J9">
        <v>11.7</v>
      </c>
      <c r="K9">
        <v>18.5</v>
      </c>
      <c r="L9">
        <v>26</v>
      </c>
      <c r="M9">
        <v>31.5</v>
      </c>
      <c r="N9">
        <v>42.7</v>
      </c>
      <c r="O9">
        <v>80.599999999999994</v>
      </c>
    </row>
    <row r="10" spans="1:15">
      <c r="A10" t="s">
        <v>384</v>
      </c>
      <c r="B10" s="3">
        <v>1222</v>
      </c>
      <c r="C10">
        <v>99.8</v>
      </c>
      <c r="D10">
        <v>5.6</v>
      </c>
      <c r="E10">
        <v>0.2</v>
      </c>
      <c r="F10">
        <v>0.01</v>
      </c>
      <c r="G10">
        <v>0.2</v>
      </c>
      <c r="H10">
        <v>0.5</v>
      </c>
      <c r="I10">
        <v>1.5</v>
      </c>
      <c r="J10">
        <v>4.2</v>
      </c>
      <c r="K10">
        <v>8.1</v>
      </c>
      <c r="L10">
        <v>12.5</v>
      </c>
      <c r="M10">
        <v>15.5</v>
      </c>
      <c r="N10">
        <v>25.4</v>
      </c>
      <c r="O10">
        <v>32.700000000000003</v>
      </c>
    </row>
    <row r="11" spans="1:15">
      <c r="A11" t="s">
        <v>385</v>
      </c>
      <c r="B11" s="3">
        <v>4677</v>
      </c>
      <c r="C11">
        <v>99.8</v>
      </c>
      <c r="D11">
        <v>3.3</v>
      </c>
      <c r="E11">
        <v>0.1</v>
      </c>
      <c r="F11">
        <v>0.01</v>
      </c>
      <c r="G11">
        <v>0.2</v>
      </c>
      <c r="H11">
        <v>0.3</v>
      </c>
      <c r="I11">
        <v>0.9</v>
      </c>
      <c r="J11">
        <v>2.2000000000000002</v>
      </c>
      <c r="K11">
        <v>4.5999999999999996</v>
      </c>
      <c r="L11">
        <v>7.6</v>
      </c>
      <c r="M11">
        <v>9.9</v>
      </c>
      <c r="N11">
        <v>14.9</v>
      </c>
      <c r="O11">
        <v>36.4</v>
      </c>
    </row>
    <row r="12" spans="1:15">
      <c r="A12" t="s">
        <v>386</v>
      </c>
      <c r="B12" s="3">
        <v>4646</v>
      </c>
      <c r="C12">
        <v>99.8</v>
      </c>
      <c r="D12">
        <v>3.2</v>
      </c>
      <c r="E12">
        <v>0.1</v>
      </c>
      <c r="F12">
        <v>0.02</v>
      </c>
      <c r="G12">
        <v>0.2</v>
      </c>
      <c r="H12">
        <v>0.4</v>
      </c>
      <c r="I12">
        <v>1</v>
      </c>
      <c r="J12">
        <v>2.4</v>
      </c>
      <c r="K12">
        <v>4.5</v>
      </c>
      <c r="L12">
        <v>6.9</v>
      </c>
      <c r="M12">
        <v>8.9</v>
      </c>
      <c r="N12">
        <v>14.1</v>
      </c>
      <c r="O12">
        <v>42.5</v>
      </c>
    </row>
    <row r="13" spans="1:15">
      <c r="A13" t="s">
        <v>387</v>
      </c>
      <c r="B13">
        <v>177</v>
      </c>
      <c r="C13">
        <v>99.8</v>
      </c>
      <c r="D13">
        <v>8</v>
      </c>
      <c r="E13">
        <v>1.1000000000000001</v>
      </c>
      <c r="F13">
        <v>0</v>
      </c>
      <c r="G13">
        <v>0</v>
      </c>
      <c r="H13">
        <v>0.1</v>
      </c>
      <c r="I13">
        <v>0.8</v>
      </c>
      <c r="J13">
        <v>3.1</v>
      </c>
      <c r="K13">
        <v>11</v>
      </c>
      <c r="L13">
        <v>21.2</v>
      </c>
      <c r="M13">
        <v>30.2</v>
      </c>
      <c r="N13">
        <v>68.900000000000006</v>
      </c>
      <c r="O13">
        <v>146.19999999999999</v>
      </c>
    </row>
    <row r="14" spans="1:15">
      <c r="A14" t="s">
        <v>388</v>
      </c>
      <c r="B14">
        <v>557</v>
      </c>
      <c r="C14">
        <v>97</v>
      </c>
      <c r="D14">
        <v>6.4</v>
      </c>
      <c r="E14">
        <v>0.4</v>
      </c>
      <c r="F14">
        <v>0</v>
      </c>
      <c r="G14">
        <v>0</v>
      </c>
      <c r="H14">
        <v>0</v>
      </c>
      <c r="I14">
        <v>0.6</v>
      </c>
      <c r="J14">
        <v>3</v>
      </c>
      <c r="K14">
        <v>7.4</v>
      </c>
      <c r="L14">
        <v>14.9</v>
      </c>
      <c r="M14">
        <v>28.1</v>
      </c>
      <c r="N14">
        <v>51.7</v>
      </c>
      <c r="O14">
        <v>164.8</v>
      </c>
    </row>
    <row r="15" spans="1:15">
      <c r="A15" t="s">
        <v>389</v>
      </c>
      <c r="B15" s="3">
        <v>2740</v>
      </c>
      <c r="C15">
        <v>99.6</v>
      </c>
      <c r="D15">
        <v>5.6</v>
      </c>
      <c r="E15">
        <v>0.2</v>
      </c>
      <c r="F15">
        <v>0</v>
      </c>
      <c r="G15">
        <v>0.1</v>
      </c>
      <c r="H15">
        <v>0.2</v>
      </c>
      <c r="I15">
        <v>0.6</v>
      </c>
      <c r="J15">
        <v>2.1</v>
      </c>
      <c r="K15">
        <v>6.5</v>
      </c>
      <c r="L15">
        <v>14.7</v>
      </c>
      <c r="M15">
        <v>23.3</v>
      </c>
      <c r="N15">
        <v>45.4</v>
      </c>
      <c r="O15">
        <v>185.6</v>
      </c>
    </row>
    <row r="16" spans="1:15">
      <c r="A16" t="s">
        <v>390</v>
      </c>
      <c r="B16" s="3">
        <v>1638</v>
      </c>
      <c r="C16">
        <v>99.1</v>
      </c>
      <c r="D16">
        <v>9.5</v>
      </c>
      <c r="E16">
        <v>0.6</v>
      </c>
      <c r="F16">
        <v>0</v>
      </c>
      <c r="G16">
        <v>0.1</v>
      </c>
      <c r="H16">
        <v>0.4</v>
      </c>
      <c r="I16">
        <v>1.3</v>
      </c>
      <c r="J16">
        <v>4.2</v>
      </c>
      <c r="K16">
        <v>11.5</v>
      </c>
      <c r="L16">
        <v>25.4</v>
      </c>
      <c r="M16">
        <v>36.299999999999997</v>
      </c>
      <c r="N16">
        <v>69.3</v>
      </c>
      <c r="O16">
        <v>185.2</v>
      </c>
    </row>
    <row r="17" spans="1:15">
      <c r="A17" t="s">
        <v>391</v>
      </c>
      <c r="B17" s="3">
        <v>15495</v>
      </c>
      <c r="C17">
        <v>99.6</v>
      </c>
      <c r="D17">
        <v>6.6</v>
      </c>
      <c r="E17">
        <v>0.1</v>
      </c>
      <c r="F17">
        <v>0</v>
      </c>
      <c r="G17">
        <v>0.3</v>
      </c>
      <c r="H17">
        <v>0.5</v>
      </c>
      <c r="I17">
        <v>1.4</v>
      </c>
      <c r="J17">
        <v>3.4</v>
      </c>
      <c r="K17">
        <v>7.2</v>
      </c>
      <c r="L17">
        <v>15.6</v>
      </c>
      <c r="M17">
        <v>24.7</v>
      </c>
      <c r="N17">
        <v>51.2</v>
      </c>
      <c r="O17">
        <v>223.2</v>
      </c>
    </row>
  </sheetData>
  <phoneticPr fontId="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30887-B4E9-4017-A3F8-072E6031CAB2}">
  <dimension ref="A1:AD34"/>
  <sheetViews>
    <sheetView workbookViewId="0">
      <selection activeCell="F1" sqref="F1:R2"/>
    </sheetView>
  </sheetViews>
  <sheetFormatPr baseColWidth="10" defaultColWidth="8.83203125" defaultRowHeight="15"/>
  <sheetData>
    <row r="1" spans="1:30">
      <c r="A1" s="68" t="s">
        <v>91</v>
      </c>
      <c r="B1" s="68"/>
      <c r="C1" s="68"/>
      <c r="D1" s="68"/>
      <c r="E1" s="68"/>
      <c r="F1" s="69" t="s">
        <v>392</v>
      </c>
      <c r="G1" s="69"/>
      <c r="H1" s="69"/>
      <c r="I1" s="69"/>
      <c r="J1" s="69"/>
      <c r="K1" s="69"/>
      <c r="L1" s="69"/>
      <c r="M1" s="69"/>
      <c r="N1" s="69"/>
      <c r="O1" s="69"/>
      <c r="P1" s="69"/>
      <c r="Q1" s="69"/>
      <c r="R1" s="69"/>
    </row>
    <row r="2" spans="1:30">
      <c r="A2" s="68"/>
      <c r="B2" s="68"/>
      <c r="C2" s="68"/>
      <c r="D2" s="68"/>
      <c r="E2" s="68"/>
      <c r="F2" s="69"/>
      <c r="G2" s="69"/>
      <c r="H2" s="69"/>
      <c r="I2" s="69"/>
      <c r="J2" s="69"/>
      <c r="K2" s="69"/>
      <c r="L2" s="69"/>
      <c r="M2" s="69"/>
      <c r="N2" s="69"/>
      <c r="O2" s="69"/>
      <c r="P2" s="69"/>
      <c r="Q2" s="69"/>
      <c r="R2" s="69"/>
    </row>
    <row r="3" spans="1:30" ht="16" thickBot="1">
      <c r="A3" s="70"/>
      <c r="B3" s="70"/>
      <c r="C3" s="70"/>
      <c r="D3" s="70"/>
      <c r="E3" s="70"/>
      <c r="F3" s="70"/>
      <c r="G3" s="70"/>
      <c r="H3" s="71" t="s">
        <v>93</v>
      </c>
      <c r="I3" s="71"/>
      <c r="J3" s="71"/>
      <c r="K3" s="71"/>
      <c r="L3" s="71"/>
      <c r="M3" s="71"/>
      <c r="N3" s="71"/>
      <c r="O3" s="71"/>
      <c r="P3" s="71"/>
      <c r="Q3" s="71"/>
      <c r="R3" s="71"/>
      <c r="S3" s="71"/>
      <c r="T3" s="71"/>
      <c r="U3" s="71"/>
      <c r="V3" s="71"/>
      <c r="W3" s="71"/>
      <c r="X3" s="71"/>
      <c r="Y3" s="71"/>
      <c r="Z3" s="71"/>
      <c r="AA3" s="71"/>
      <c r="AB3" s="71"/>
      <c r="AC3" s="71"/>
    </row>
    <row r="4" spans="1:30" ht="49" thickBot="1">
      <c r="A4" s="72"/>
      <c r="B4" s="72"/>
      <c r="C4" s="72"/>
      <c r="D4" s="13" t="s">
        <v>94</v>
      </c>
      <c r="E4" s="13" t="s">
        <v>95</v>
      </c>
      <c r="F4" s="13" t="s">
        <v>12</v>
      </c>
      <c r="G4" s="13" t="s">
        <v>13</v>
      </c>
      <c r="H4" s="14">
        <v>0.01</v>
      </c>
      <c r="I4" s="14">
        <v>0.05</v>
      </c>
      <c r="J4" s="14">
        <v>0.1</v>
      </c>
      <c r="K4" s="14">
        <v>0.15</v>
      </c>
      <c r="L4" s="14">
        <v>0.2</v>
      </c>
      <c r="M4" s="14">
        <v>0.25</v>
      </c>
      <c r="N4" s="14">
        <v>0.3</v>
      </c>
      <c r="O4" s="14">
        <v>0.35</v>
      </c>
      <c r="P4" s="14">
        <v>0.4</v>
      </c>
      <c r="Q4" s="14">
        <v>0.45</v>
      </c>
      <c r="R4" s="14">
        <v>0.5</v>
      </c>
      <c r="S4" s="14">
        <v>0.55000000000000004</v>
      </c>
      <c r="T4" s="14">
        <v>0.6</v>
      </c>
      <c r="U4" s="14">
        <v>0.65</v>
      </c>
      <c r="V4" s="14">
        <v>0.7</v>
      </c>
      <c r="W4" s="14">
        <v>0.75</v>
      </c>
      <c r="X4" s="14">
        <v>0.8</v>
      </c>
      <c r="Y4" s="14">
        <v>0.85</v>
      </c>
      <c r="Z4" s="14">
        <v>0.9</v>
      </c>
      <c r="AA4" s="14">
        <v>0.95</v>
      </c>
      <c r="AB4" s="15">
        <v>0.97499999999999998</v>
      </c>
      <c r="AC4" s="14">
        <v>0.99</v>
      </c>
      <c r="AD4" s="13" t="s">
        <v>14</v>
      </c>
    </row>
    <row r="5" spans="1:30" ht="16" thickBot="1">
      <c r="A5" s="67" t="s">
        <v>393</v>
      </c>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row>
    <row r="6" spans="1:30" ht="32">
      <c r="A6" s="13" t="s">
        <v>97</v>
      </c>
      <c r="B6" s="13" t="s">
        <v>98</v>
      </c>
      <c r="C6" s="13" t="s">
        <v>99</v>
      </c>
    </row>
    <row r="7" spans="1:30" ht="18">
      <c r="A7" s="12" t="s">
        <v>100</v>
      </c>
      <c r="B7" s="12" t="s">
        <v>101</v>
      </c>
      <c r="C7" s="16" t="s">
        <v>101</v>
      </c>
      <c r="D7" s="17">
        <v>24673</v>
      </c>
      <c r="E7" s="16">
        <v>86</v>
      </c>
      <c r="F7" s="19">
        <v>0.73</v>
      </c>
      <c r="G7" s="16">
        <v>0.01</v>
      </c>
      <c r="H7" s="16">
        <v>0</v>
      </c>
      <c r="I7" s="16">
        <v>0</v>
      </c>
      <c r="J7" s="16">
        <v>0</v>
      </c>
      <c r="K7" s="16" t="s">
        <v>102</v>
      </c>
      <c r="L7" s="16" t="s">
        <v>102</v>
      </c>
      <c r="M7" s="16" t="s">
        <v>102</v>
      </c>
      <c r="N7" s="16">
        <v>0.1</v>
      </c>
      <c r="O7" s="16">
        <v>0.2</v>
      </c>
      <c r="P7" s="16">
        <v>0.3</v>
      </c>
      <c r="Q7" s="16">
        <v>0.4</v>
      </c>
      <c r="R7" s="16">
        <v>0.4</v>
      </c>
      <c r="S7" s="16">
        <v>0.5</v>
      </c>
      <c r="T7" s="16">
        <v>0.6</v>
      </c>
      <c r="U7" s="16">
        <v>0.8</v>
      </c>
      <c r="V7" s="16">
        <v>0.9</v>
      </c>
      <c r="W7" s="16">
        <v>1</v>
      </c>
      <c r="X7" s="16">
        <v>1.2</v>
      </c>
      <c r="Y7" s="16">
        <v>1.5</v>
      </c>
      <c r="Z7" s="16">
        <v>1.8</v>
      </c>
      <c r="AA7" s="16">
        <v>2.5</v>
      </c>
      <c r="AB7" s="16">
        <v>3.2</v>
      </c>
      <c r="AC7" s="16">
        <v>4.2</v>
      </c>
      <c r="AD7" s="12" t="s">
        <v>394</v>
      </c>
    </row>
    <row r="8" spans="1:30" ht="32">
      <c r="A8" s="12" t="s">
        <v>104</v>
      </c>
      <c r="B8" s="12" t="s">
        <v>101</v>
      </c>
      <c r="C8" s="16" t="s">
        <v>101</v>
      </c>
      <c r="D8" s="16">
        <v>87</v>
      </c>
      <c r="E8" s="16">
        <v>0</v>
      </c>
      <c r="F8" s="16">
        <v>0</v>
      </c>
      <c r="G8" s="16">
        <v>0</v>
      </c>
      <c r="H8" s="16" t="s">
        <v>105</v>
      </c>
      <c r="I8" s="16" t="s">
        <v>105</v>
      </c>
      <c r="J8" s="16" t="s">
        <v>105</v>
      </c>
      <c r="K8" s="16" t="s">
        <v>105</v>
      </c>
      <c r="L8" s="16" t="s">
        <v>105</v>
      </c>
      <c r="M8" s="16">
        <v>0</v>
      </c>
      <c r="N8" s="16">
        <v>0</v>
      </c>
      <c r="O8" s="16">
        <v>0</v>
      </c>
      <c r="P8" s="16">
        <v>0</v>
      </c>
      <c r="Q8" s="16">
        <v>0</v>
      </c>
      <c r="R8" s="16">
        <v>0</v>
      </c>
      <c r="S8" s="16">
        <v>0</v>
      </c>
      <c r="T8" s="16">
        <v>0</v>
      </c>
      <c r="U8" s="16">
        <v>0</v>
      </c>
      <c r="V8" s="16">
        <v>0</v>
      </c>
      <c r="W8" s="16">
        <v>0</v>
      </c>
      <c r="X8" s="16" t="s">
        <v>105</v>
      </c>
      <c r="Y8" s="16" t="s">
        <v>105</v>
      </c>
      <c r="Z8" s="16" t="s">
        <v>105</v>
      </c>
      <c r="AA8" s="16" t="s">
        <v>105</v>
      </c>
      <c r="AB8" s="16" t="s">
        <v>105</v>
      </c>
      <c r="AC8" s="16" t="s">
        <v>105</v>
      </c>
      <c r="AD8" s="12" t="s">
        <v>105</v>
      </c>
    </row>
    <row r="9" spans="1:30" ht="32">
      <c r="A9" s="12" t="s">
        <v>110</v>
      </c>
      <c r="B9" s="12" t="s">
        <v>101</v>
      </c>
      <c r="C9" s="16" t="s">
        <v>101</v>
      </c>
      <c r="D9" s="16">
        <v>233</v>
      </c>
      <c r="E9" s="16" t="s">
        <v>395</v>
      </c>
      <c r="F9" s="16" t="s">
        <v>396</v>
      </c>
      <c r="G9" s="16" t="s">
        <v>396</v>
      </c>
      <c r="H9" s="16" t="s">
        <v>105</v>
      </c>
      <c r="I9" s="16" t="s">
        <v>105</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t="s">
        <v>105</v>
      </c>
      <c r="AB9" s="16" t="s">
        <v>105</v>
      </c>
      <c r="AC9" s="16" t="s">
        <v>105</v>
      </c>
      <c r="AD9" s="12" t="s">
        <v>150</v>
      </c>
    </row>
    <row r="10" spans="1:30" ht="32">
      <c r="A10" s="12" t="s">
        <v>114</v>
      </c>
      <c r="B10" s="12" t="s">
        <v>101</v>
      </c>
      <c r="C10" s="16" t="s">
        <v>101</v>
      </c>
      <c r="D10" s="16">
        <v>282</v>
      </c>
      <c r="E10" s="16">
        <v>5</v>
      </c>
      <c r="F10" s="16">
        <v>0.02</v>
      </c>
      <c r="G10" s="16">
        <v>0.01</v>
      </c>
      <c r="H10" s="16" t="s">
        <v>105</v>
      </c>
      <c r="I10" s="16" t="s">
        <v>105</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t="s">
        <v>150</v>
      </c>
      <c r="AB10" s="16" t="s">
        <v>150</v>
      </c>
      <c r="AC10" s="16" t="s">
        <v>397</v>
      </c>
      <c r="AD10" s="12" t="s">
        <v>398</v>
      </c>
    </row>
    <row r="11" spans="1:30" ht="32">
      <c r="A11" s="12" t="s">
        <v>119</v>
      </c>
      <c r="B11" s="12" t="s">
        <v>101</v>
      </c>
      <c r="C11" s="16" t="s">
        <v>101</v>
      </c>
      <c r="D11" s="16">
        <v>588</v>
      </c>
      <c r="E11" s="16">
        <v>49</v>
      </c>
      <c r="F11" s="16">
        <v>0.75</v>
      </c>
      <c r="G11" s="16">
        <v>0.12</v>
      </c>
      <c r="H11" s="16" t="s">
        <v>105</v>
      </c>
      <c r="I11" s="16">
        <v>0</v>
      </c>
      <c r="J11" s="16">
        <v>0</v>
      </c>
      <c r="K11" s="16">
        <v>0</v>
      </c>
      <c r="L11" s="16">
        <v>0</v>
      </c>
      <c r="M11" s="16">
        <v>0</v>
      </c>
      <c r="N11" s="16">
        <v>0</v>
      </c>
      <c r="O11" s="16">
        <v>0</v>
      </c>
      <c r="P11" s="16">
        <v>0</v>
      </c>
      <c r="Q11" s="16">
        <v>0</v>
      </c>
      <c r="R11" s="16">
        <v>0</v>
      </c>
      <c r="S11" s="16" t="s">
        <v>102</v>
      </c>
      <c r="T11" s="16" t="s">
        <v>102</v>
      </c>
      <c r="U11" s="16">
        <v>0.1</v>
      </c>
      <c r="V11" s="16">
        <v>0.4</v>
      </c>
      <c r="W11" s="16">
        <v>0.9</v>
      </c>
      <c r="X11" s="16">
        <v>1.1000000000000001</v>
      </c>
      <c r="Y11" s="16">
        <v>1.7</v>
      </c>
      <c r="Z11" s="16">
        <v>2.6</v>
      </c>
      <c r="AA11" s="16">
        <v>4.0999999999999996</v>
      </c>
      <c r="AB11" s="16" t="s">
        <v>164</v>
      </c>
      <c r="AC11" s="16" t="s">
        <v>399</v>
      </c>
      <c r="AD11" s="12" t="s">
        <v>400</v>
      </c>
    </row>
    <row r="12" spans="1:30" ht="32">
      <c r="A12" s="12" t="s">
        <v>122</v>
      </c>
      <c r="B12" s="12" t="s">
        <v>101</v>
      </c>
      <c r="C12" s="16" t="s">
        <v>101</v>
      </c>
      <c r="D12" s="16">
        <v>728</v>
      </c>
      <c r="E12" s="16">
        <v>81</v>
      </c>
      <c r="F12" s="16">
        <v>1.27</v>
      </c>
      <c r="G12" s="16">
        <v>0.09</v>
      </c>
      <c r="H12" s="16" t="s">
        <v>105</v>
      </c>
      <c r="I12" s="16">
        <v>0</v>
      </c>
      <c r="J12" s="16">
        <v>0</v>
      </c>
      <c r="K12" s="16">
        <v>0</v>
      </c>
      <c r="L12" s="16" t="s">
        <v>102</v>
      </c>
      <c r="M12" s="16" t="s">
        <v>102</v>
      </c>
      <c r="N12" s="16" t="s">
        <v>102</v>
      </c>
      <c r="O12" s="16">
        <v>0.1</v>
      </c>
      <c r="P12" s="16">
        <v>0.3</v>
      </c>
      <c r="Q12" s="16">
        <v>0.5</v>
      </c>
      <c r="R12" s="16">
        <v>0.7</v>
      </c>
      <c r="S12" s="16">
        <v>0.9</v>
      </c>
      <c r="T12" s="16">
        <v>1.1000000000000001</v>
      </c>
      <c r="U12" s="16">
        <v>1.3</v>
      </c>
      <c r="V12" s="16">
        <v>1.5</v>
      </c>
      <c r="W12" s="16">
        <v>1.8</v>
      </c>
      <c r="X12" s="16">
        <v>2.1</v>
      </c>
      <c r="Y12" s="16">
        <v>2.7</v>
      </c>
      <c r="Z12" s="16">
        <v>3.5</v>
      </c>
      <c r="AA12" s="16">
        <v>4.9000000000000004</v>
      </c>
      <c r="AB12" s="16" t="s">
        <v>399</v>
      </c>
      <c r="AC12" s="16" t="s">
        <v>401</v>
      </c>
      <c r="AD12" s="12" t="s">
        <v>394</v>
      </c>
    </row>
    <row r="13" spans="1:30" ht="32">
      <c r="A13" s="12" t="s">
        <v>126</v>
      </c>
      <c r="B13" s="12" t="s">
        <v>101</v>
      </c>
      <c r="C13" s="16" t="s">
        <v>101</v>
      </c>
      <c r="D13" s="16">
        <v>751</v>
      </c>
      <c r="E13" s="16">
        <v>88</v>
      </c>
      <c r="F13" s="16">
        <v>1.46</v>
      </c>
      <c r="G13" s="16">
        <v>0.08</v>
      </c>
      <c r="H13" s="16" t="s">
        <v>105</v>
      </c>
      <c r="I13" s="16">
        <v>0</v>
      </c>
      <c r="J13" s="16">
        <v>0</v>
      </c>
      <c r="K13" s="16" t="s">
        <v>102</v>
      </c>
      <c r="L13" s="16" t="s">
        <v>102</v>
      </c>
      <c r="M13" s="16">
        <v>0.1</v>
      </c>
      <c r="N13" s="16">
        <v>0.3</v>
      </c>
      <c r="O13" s="16">
        <v>0.5</v>
      </c>
      <c r="P13" s="16">
        <v>0.7</v>
      </c>
      <c r="Q13" s="16">
        <v>0.8</v>
      </c>
      <c r="R13" s="16">
        <v>0.9</v>
      </c>
      <c r="S13" s="16">
        <v>1.2</v>
      </c>
      <c r="T13" s="16">
        <v>1.3</v>
      </c>
      <c r="U13" s="16">
        <v>1.5</v>
      </c>
      <c r="V13" s="16">
        <v>1.8</v>
      </c>
      <c r="W13" s="16">
        <v>2.1</v>
      </c>
      <c r="X13" s="16">
        <v>2.6</v>
      </c>
      <c r="Y13" s="16">
        <v>3.1</v>
      </c>
      <c r="Z13" s="16">
        <v>3.7</v>
      </c>
      <c r="AA13" s="16">
        <v>4.5</v>
      </c>
      <c r="AB13" s="16" t="s">
        <v>118</v>
      </c>
      <c r="AC13" s="16" t="s">
        <v>402</v>
      </c>
      <c r="AD13" s="12" t="s">
        <v>403</v>
      </c>
    </row>
    <row r="14" spans="1:30" ht="32">
      <c r="A14" s="12" t="s">
        <v>130</v>
      </c>
      <c r="B14" s="12" t="s">
        <v>101</v>
      </c>
      <c r="C14" s="16" t="s">
        <v>101</v>
      </c>
      <c r="D14" s="17">
        <v>1418</v>
      </c>
      <c r="E14" s="16">
        <v>89</v>
      </c>
      <c r="F14" s="16">
        <v>1.35</v>
      </c>
      <c r="G14" s="16">
        <v>0.09</v>
      </c>
      <c r="H14" s="16" t="s">
        <v>105</v>
      </c>
      <c r="I14" s="16">
        <v>0</v>
      </c>
      <c r="J14" s="16">
        <v>0</v>
      </c>
      <c r="K14" s="16" t="s">
        <v>102</v>
      </c>
      <c r="L14" s="16" t="s">
        <v>102</v>
      </c>
      <c r="M14" s="16">
        <v>0.1</v>
      </c>
      <c r="N14" s="16">
        <v>0.2</v>
      </c>
      <c r="O14" s="16">
        <v>0.4</v>
      </c>
      <c r="P14" s="16">
        <v>0.6</v>
      </c>
      <c r="Q14" s="16">
        <v>0.8</v>
      </c>
      <c r="R14" s="16">
        <v>0.9</v>
      </c>
      <c r="S14" s="16">
        <v>1</v>
      </c>
      <c r="T14" s="16">
        <v>1.1000000000000001</v>
      </c>
      <c r="U14" s="16">
        <v>1.4</v>
      </c>
      <c r="V14" s="16">
        <v>1.6</v>
      </c>
      <c r="W14" s="16">
        <v>1.8</v>
      </c>
      <c r="X14" s="16">
        <v>2.2000000000000002</v>
      </c>
      <c r="Y14" s="16">
        <v>2.5</v>
      </c>
      <c r="Z14" s="16">
        <v>3.1</v>
      </c>
      <c r="AA14" s="16">
        <v>4.2</v>
      </c>
      <c r="AB14" s="16">
        <v>6</v>
      </c>
      <c r="AC14" s="16" t="s">
        <v>404</v>
      </c>
      <c r="AD14" s="12" t="s">
        <v>405</v>
      </c>
    </row>
    <row r="15" spans="1:30" ht="32">
      <c r="A15" s="12" t="s">
        <v>134</v>
      </c>
      <c r="B15" s="12" t="s">
        <v>101</v>
      </c>
      <c r="C15" s="16" t="s">
        <v>101</v>
      </c>
      <c r="D15" s="17">
        <v>2292</v>
      </c>
      <c r="E15" s="16">
        <v>90</v>
      </c>
      <c r="F15" s="16">
        <v>1.1399999999999999</v>
      </c>
      <c r="G15" s="16">
        <v>0.05</v>
      </c>
      <c r="H15" s="16">
        <v>0</v>
      </c>
      <c r="I15" s="16">
        <v>0</v>
      </c>
      <c r="J15" s="16" t="s">
        <v>102</v>
      </c>
      <c r="K15" s="16" t="s">
        <v>102</v>
      </c>
      <c r="L15" s="16">
        <v>0.1</v>
      </c>
      <c r="M15" s="16">
        <v>0.2</v>
      </c>
      <c r="N15" s="16">
        <v>0.2</v>
      </c>
      <c r="O15" s="16">
        <v>0.4</v>
      </c>
      <c r="P15" s="16">
        <v>0.5</v>
      </c>
      <c r="Q15" s="16">
        <v>0.7</v>
      </c>
      <c r="R15" s="16">
        <v>0.8</v>
      </c>
      <c r="S15" s="16">
        <v>1</v>
      </c>
      <c r="T15" s="16">
        <v>1.1000000000000001</v>
      </c>
      <c r="U15" s="16">
        <v>1.3</v>
      </c>
      <c r="V15" s="16">
        <v>1.5</v>
      </c>
      <c r="W15" s="16">
        <v>1.7</v>
      </c>
      <c r="X15" s="16">
        <v>1.9</v>
      </c>
      <c r="Y15" s="16">
        <v>2.2000000000000002</v>
      </c>
      <c r="Z15" s="16">
        <v>2.7</v>
      </c>
      <c r="AA15" s="16">
        <v>3.6</v>
      </c>
      <c r="AB15" s="16">
        <v>4.3</v>
      </c>
      <c r="AC15" s="16">
        <v>5.8</v>
      </c>
      <c r="AD15" s="12" t="s">
        <v>406</v>
      </c>
    </row>
    <row r="16" spans="1:30" ht="32">
      <c r="A16" s="12" t="s">
        <v>136</v>
      </c>
      <c r="B16" s="12" t="s">
        <v>101</v>
      </c>
      <c r="C16" s="16" t="s">
        <v>101</v>
      </c>
      <c r="D16" s="17">
        <v>2551</v>
      </c>
      <c r="E16" s="16">
        <v>89</v>
      </c>
      <c r="F16" s="16">
        <v>0.83</v>
      </c>
      <c r="G16" s="16">
        <v>0.05</v>
      </c>
      <c r="H16" s="16">
        <v>0</v>
      </c>
      <c r="I16" s="16">
        <v>0</v>
      </c>
      <c r="J16" s="16">
        <v>0</v>
      </c>
      <c r="K16" s="16" t="s">
        <v>102</v>
      </c>
      <c r="L16" s="16" t="s">
        <v>102</v>
      </c>
      <c r="M16" s="16">
        <v>0.1</v>
      </c>
      <c r="N16" s="16">
        <v>0.2</v>
      </c>
      <c r="O16" s="16">
        <v>0.3</v>
      </c>
      <c r="P16" s="16">
        <v>0.4</v>
      </c>
      <c r="Q16" s="16">
        <v>0.4</v>
      </c>
      <c r="R16" s="16">
        <v>0.5</v>
      </c>
      <c r="S16" s="16">
        <v>0.6</v>
      </c>
      <c r="T16" s="16">
        <v>0.7</v>
      </c>
      <c r="U16" s="16">
        <v>0.8</v>
      </c>
      <c r="V16" s="16">
        <v>1</v>
      </c>
      <c r="W16" s="16">
        <v>1.2</v>
      </c>
      <c r="X16" s="16">
        <v>1.4</v>
      </c>
      <c r="Y16" s="16">
        <v>1.7</v>
      </c>
      <c r="Z16" s="16">
        <v>2</v>
      </c>
      <c r="AA16" s="16">
        <v>2.8</v>
      </c>
      <c r="AB16" s="16">
        <v>3.4</v>
      </c>
      <c r="AC16" s="16">
        <v>4.8</v>
      </c>
      <c r="AD16" s="12" t="s">
        <v>407</v>
      </c>
    </row>
    <row r="17" spans="1:30" ht="32">
      <c r="A17" s="12" t="s">
        <v>138</v>
      </c>
      <c r="B17" s="12" t="s">
        <v>101</v>
      </c>
      <c r="C17" s="16" t="s">
        <v>101</v>
      </c>
      <c r="D17" s="17">
        <v>2191</v>
      </c>
      <c r="E17" s="16">
        <v>88</v>
      </c>
      <c r="F17" s="16">
        <v>0.79</v>
      </c>
      <c r="G17" s="16">
        <v>0.04</v>
      </c>
      <c r="H17" s="16">
        <v>0</v>
      </c>
      <c r="I17" s="16">
        <v>0</v>
      </c>
      <c r="J17" s="16">
        <v>0</v>
      </c>
      <c r="K17" s="16" t="s">
        <v>102</v>
      </c>
      <c r="L17" s="16" t="s">
        <v>102</v>
      </c>
      <c r="M17" s="16">
        <v>0.1</v>
      </c>
      <c r="N17" s="16">
        <v>0.1</v>
      </c>
      <c r="O17" s="16">
        <v>0.2</v>
      </c>
      <c r="P17" s="16">
        <v>0.3</v>
      </c>
      <c r="Q17" s="16">
        <v>0.4</v>
      </c>
      <c r="R17" s="16">
        <v>0.5</v>
      </c>
      <c r="S17" s="16">
        <v>0.6</v>
      </c>
      <c r="T17" s="16">
        <v>0.7</v>
      </c>
      <c r="U17" s="16">
        <v>0.8</v>
      </c>
      <c r="V17" s="16">
        <v>1</v>
      </c>
      <c r="W17" s="16">
        <v>1.2</v>
      </c>
      <c r="X17" s="16">
        <v>1.4</v>
      </c>
      <c r="Y17" s="16">
        <v>1.6</v>
      </c>
      <c r="Z17" s="16">
        <v>2</v>
      </c>
      <c r="AA17" s="16">
        <v>2.7</v>
      </c>
      <c r="AB17" s="16">
        <v>3.3</v>
      </c>
      <c r="AC17" s="16">
        <v>4.2</v>
      </c>
      <c r="AD17" s="12" t="s">
        <v>408</v>
      </c>
    </row>
    <row r="18" spans="1:30" ht="32">
      <c r="A18" s="12" t="s">
        <v>140</v>
      </c>
      <c r="B18" s="12" t="s">
        <v>101</v>
      </c>
      <c r="C18" s="16" t="s">
        <v>101</v>
      </c>
      <c r="D18" s="17">
        <v>2082</v>
      </c>
      <c r="E18" s="16">
        <v>86</v>
      </c>
      <c r="F18" s="16">
        <v>0.69</v>
      </c>
      <c r="G18" s="16">
        <v>0.03</v>
      </c>
      <c r="H18" s="16">
        <v>0</v>
      </c>
      <c r="I18" s="16">
        <v>0</v>
      </c>
      <c r="J18" s="16">
        <v>0</v>
      </c>
      <c r="K18" s="16" t="s">
        <v>102</v>
      </c>
      <c r="L18" s="16" t="s">
        <v>102</v>
      </c>
      <c r="M18" s="16">
        <v>0.1</v>
      </c>
      <c r="N18" s="16">
        <v>0.1</v>
      </c>
      <c r="O18" s="16">
        <v>0.2</v>
      </c>
      <c r="P18" s="16">
        <v>0.3</v>
      </c>
      <c r="Q18" s="16">
        <v>0.4</v>
      </c>
      <c r="R18" s="16">
        <v>0.5</v>
      </c>
      <c r="S18" s="16">
        <v>0.5</v>
      </c>
      <c r="T18" s="16">
        <v>0.6</v>
      </c>
      <c r="U18" s="16">
        <v>0.8</v>
      </c>
      <c r="V18" s="16">
        <v>0.9</v>
      </c>
      <c r="W18" s="16">
        <v>1</v>
      </c>
      <c r="X18" s="16">
        <v>1.2</v>
      </c>
      <c r="Y18" s="16">
        <v>1.4</v>
      </c>
      <c r="Z18" s="16">
        <v>1.7</v>
      </c>
      <c r="AA18" s="16">
        <v>2.2999999999999998</v>
      </c>
      <c r="AB18" s="16">
        <v>3</v>
      </c>
      <c r="AC18" s="16">
        <v>3.8</v>
      </c>
      <c r="AD18" s="12" t="s">
        <v>409</v>
      </c>
    </row>
    <row r="19" spans="1:30" ht="32">
      <c r="A19" s="12" t="s">
        <v>141</v>
      </c>
      <c r="B19" s="12" t="s">
        <v>101</v>
      </c>
      <c r="C19" s="16" t="s">
        <v>101</v>
      </c>
      <c r="D19" s="17">
        <v>2282</v>
      </c>
      <c r="E19" s="16">
        <v>86</v>
      </c>
      <c r="F19" s="16">
        <v>0.7</v>
      </c>
      <c r="G19" s="16">
        <v>0.02</v>
      </c>
      <c r="H19" s="16">
        <v>0</v>
      </c>
      <c r="I19" s="16">
        <v>0</v>
      </c>
      <c r="J19" s="16">
        <v>0</v>
      </c>
      <c r="K19" s="16" t="s">
        <v>102</v>
      </c>
      <c r="L19" s="16" t="s">
        <v>102</v>
      </c>
      <c r="M19" s="16">
        <v>0.1</v>
      </c>
      <c r="N19" s="16">
        <v>0.1</v>
      </c>
      <c r="O19" s="16">
        <v>0.2</v>
      </c>
      <c r="P19" s="16">
        <v>0.3</v>
      </c>
      <c r="Q19" s="16">
        <v>0.4</v>
      </c>
      <c r="R19" s="16">
        <v>0.4</v>
      </c>
      <c r="S19" s="16">
        <v>0.5</v>
      </c>
      <c r="T19" s="16">
        <v>0.6</v>
      </c>
      <c r="U19" s="16">
        <v>0.7</v>
      </c>
      <c r="V19" s="16">
        <v>0.9</v>
      </c>
      <c r="W19" s="16">
        <v>1</v>
      </c>
      <c r="X19" s="16">
        <v>1.2</v>
      </c>
      <c r="Y19" s="16">
        <v>1.5</v>
      </c>
      <c r="Z19" s="16">
        <v>1.8</v>
      </c>
      <c r="AA19" s="16">
        <v>2.4</v>
      </c>
      <c r="AB19" s="16">
        <v>2.9</v>
      </c>
      <c r="AC19" s="16">
        <v>3.7</v>
      </c>
      <c r="AD19" s="12" t="s">
        <v>118</v>
      </c>
    </row>
    <row r="20" spans="1:30" ht="32">
      <c r="A20" s="12" t="s">
        <v>143</v>
      </c>
      <c r="B20" s="12" t="s">
        <v>101</v>
      </c>
      <c r="C20" s="16" t="s">
        <v>101</v>
      </c>
      <c r="D20" s="17">
        <v>2378</v>
      </c>
      <c r="E20" s="16">
        <v>86</v>
      </c>
      <c r="F20" s="16">
        <v>0.65</v>
      </c>
      <c r="G20" s="16">
        <v>0.02</v>
      </c>
      <c r="H20" s="16">
        <v>0</v>
      </c>
      <c r="I20" s="16">
        <v>0</v>
      </c>
      <c r="J20" s="16">
        <v>0</v>
      </c>
      <c r="K20" s="16" t="s">
        <v>102</v>
      </c>
      <c r="L20" s="16" t="s">
        <v>102</v>
      </c>
      <c r="M20" s="16" t="s">
        <v>102</v>
      </c>
      <c r="N20" s="16">
        <v>0.1</v>
      </c>
      <c r="O20" s="16">
        <v>0.2</v>
      </c>
      <c r="P20" s="16">
        <v>0.3</v>
      </c>
      <c r="Q20" s="16">
        <v>0.4</v>
      </c>
      <c r="R20" s="16">
        <v>0.4</v>
      </c>
      <c r="S20" s="16">
        <v>0.5</v>
      </c>
      <c r="T20" s="16">
        <v>0.6</v>
      </c>
      <c r="U20" s="16">
        <v>0.7</v>
      </c>
      <c r="V20" s="16">
        <v>0.8</v>
      </c>
      <c r="W20" s="16">
        <v>0.9</v>
      </c>
      <c r="X20" s="16">
        <v>1.1000000000000001</v>
      </c>
      <c r="Y20" s="16">
        <v>1.3</v>
      </c>
      <c r="Z20" s="16">
        <v>1.6</v>
      </c>
      <c r="AA20" s="16">
        <v>2.1</v>
      </c>
      <c r="AB20" s="16">
        <v>2.7</v>
      </c>
      <c r="AC20" s="16">
        <v>3.4</v>
      </c>
      <c r="AD20" s="12" t="s">
        <v>410</v>
      </c>
    </row>
    <row r="21" spans="1:30" ht="32">
      <c r="A21" s="12" t="s">
        <v>145</v>
      </c>
      <c r="B21" s="12" t="s">
        <v>101</v>
      </c>
      <c r="C21" s="16" t="s">
        <v>101</v>
      </c>
      <c r="D21" s="17">
        <v>2103</v>
      </c>
      <c r="E21" s="16">
        <v>86</v>
      </c>
      <c r="F21" s="16">
        <v>0.59</v>
      </c>
      <c r="G21" s="16">
        <v>0.02</v>
      </c>
      <c r="H21" s="16">
        <v>0</v>
      </c>
      <c r="I21" s="16">
        <v>0</v>
      </c>
      <c r="J21" s="16">
        <v>0</v>
      </c>
      <c r="K21" s="16" t="s">
        <v>102</v>
      </c>
      <c r="L21" s="16" t="s">
        <v>102</v>
      </c>
      <c r="M21" s="16" t="s">
        <v>102</v>
      </c>
      <c r="N21" s="16">
        <v>0.1</v>
      </c>
      <c r="O21" s="16">
        <v>0.1</v>
      </c>
      <c r="P21" s="16">
        <v>0.2</v>
      </c>
      <c r="Q21" s="16">
        <v>0.3</v>
      </c>
      <c r="R21" s="16">
        <v>0.4</v>
      </c>
      <c r="S21" s="16">
        <v>0.5</v>
      </c>
      <c r="T21" s="16">
        <v>0.6</v>
      </c>
      <c r="U21" s="16">
        <v>0.6</v>
      </c>
      <c r="V21" s="16">
        <v>0.7</v>
      </c>
      <c r="W21" s="16">
        <v>0.9</v>
      </c>
      <c r="X21" s="16">
        <v>1.1000000000000001</v>
      </c>
      <c r="Y21" s="16">
        <v>1.2</v>
      </c>
      <c r="Z21" s="16">
        <v>1.5</v>
      </c>
      <c r="AA21" s="16">
        <v>2</v>
      </c>
      <c r="AB21" s="16">
        <v>2.4</v>
      </c>
      <c r="AC21" s="16">
        <v>2.9</v>
      </c>
      <c r="AD21" s="12" t="s">
        <v>411</v>
      </c>
    </row>
    <row r="22" spans="1:30" ht="32">
      <c r="A22" s="12" t="s">
        <v>147</v>
      </c>
      <c r="B22" s="12" t="s">
        <v>101</v>
      </c>
      <c r="C22" s="16" t="s">
        <v>101</v>
      </c>
      <c r="D22" s="17">
        <v>2214</v>
      </c>
      <c r="E22" s="16">
        <v>86</v>
      </c>
      <c r="F22" s="16">
        <v>0.55000000000000004</v>
      </c>
      <c r="G22" s="16">
        <v>0.03</v>
      </c>
      <c r="H22" s="16">
        <v>0</v>
      </c>
      <c r="I22" s="16">
        <v>0</v>
      </c>
      <c r="J22" s="16">
        <v>0</v>
      </c>
      <c r="K22" s="16" t="s">
        <v>102</v>
      </c>
      <c r="L22" s="16" t="s">
        <v>102</v>
      </c>
      <c r="M22" s="16" t="s">
        <v>102</v>
      </c>
      <c r="N22" s="16">
        <v>0.1</v>
      </c>
      <c r="O22" s="16">
        <v>0.1</v>
      </c>
      <c r="P22" s="16">
        <v>0.2</v>
      </c>
      <c r="Q22" s="16">
        <v>0.3</v>
      </c>
      <c r="R22" s="16">
        <v>0.4</v>
      </c>
      <c r="S22" s="16">
        <v>0.4</v>
      </c>
      <c r="T22" s="16">
        <v>0.5</v>
      </c>
      <c r="U22" s="16">
        <v>0.6</v>
      </c>
      <c r="V22" s="16">
        <v>0.7</v>
      </c>
      <c r="W22" s="16">
        <v>0.8</v>
      </c>
      <c r="X22" s="16">
        <v>1</v>
      </c>
      <c r="Y22" s="16">
        <v>1.1000000000000001</v>
      </c>
      <c r="Z22" s="16">
        <v>1.4</v>
      </c>
      <c r="AA22" s="16">
        <v>1.9</v>
      </c>
      <c r="AB22" s="16">
        <v>2.2999999999999998</v>
      </c>
      <c r="AC22" s="16">
        <v>2.8</v>
      </c>
      <c r="AD22" s="12" t="s">
        <v>412</v>
      </c>
    </row>
    <row r="23" spans="1:30" ht="32">
      <c r="A23" s="12" t="s">
        <v>149</v>
      </c>
      <c r="B23" s="12" t="s">
        <v>101</v>
      </c>
      <c r="C23" s="16" t="s">
        <v>101</v>
      </c>
      <c r="D23" s="17">
        <v>1578</v>
      </c>
      <c r="E23" s="16">
        <v>86</v>
      </c>
      <c r="F23" s="16">
        <v>0.53</v>
      </c>
      <c r="G23" s="16">
        <v>0.03</v>
      </c>
      <c r="H23" s="16" t="s">
        <v>105</v>
      </c>
      <c r="I23" s="16">
        <v>0</v>
      </c>
      <c r="J23" s="16">
        <v>0</v>
      </c>
      <c r="K23" s="16" t="s">
        <v>102</v>
      </c>
      <c r="L23" s="16" t="s">
        <v>102</v>
      </c>
      <c r="M23" s="16" t="s">
        <v>102</v>
      </c>
      <c r="N23" s="16">
        <v>0.1</v>
      </c>
      <c r="O23" s="16">
        <v>0.1</v>
      </c>
      <c r="P23" s="16">
        <v>0.2</v>
      </c>
      <c r="Q23" s="16">
        <v>0.3</v>
      </c>
      <c r="R23" s="16">
        <v>0.4</v>
      </c>
      <c r="S23" s="16">
        <v>0.4</v>
      </c>
      <c r="T23" s="16">
        <v>0.5</v>
      </c>
      <c r="U23" s="16">
        <v>0.6</v>
      </c>
      <c r="V23" s="16">
        <v>0.7</v>
      </c>
      <c r="W23" s="16">
        <v>0.8</v>
      </c>
      <c r="X23" s="16">
        <v>0.9</v>
      </c>
      <c r="Y23" s="16">
        <v>1.1000000000000001</v>
      </c>
      <c r="Z23" s="16">
        <v>1.3</v>
      </c>
      <c r="AA23" s="16">
        <v>1.7</v>
      </c>
      <c r="AB23" s="16">
        <v>2.1</v>
      </c>
      <c r="AC23" s="16" t="s">
        <v>413</v>
      </c>
      <c r="AD23" s="12" t="s">
        <v>399</v>
      </c>
    </row>
    <row r="24" spans="1:30" ht="32">
      <c r="A24" s="12" t="s">
        <v>152</v>
      </c>
      <c r="B24" s="12" t="s">
        <v>101</v>
      </c>
      <c r="C24" s="16" t="s">
        <v>101</v>
      </c>
      <c r="D24" s="16">
        <v>915</v>
      </c>
      <c r="E24" s="16">
        <v>83</v>
      </c>
      <c r="F24" s="16">
        <v>0.47</v>
      </c>
      <c r="G24" s="16">
        <v>0.02</v>
      </c>
      <c r="H24" s="16" t="s">
        <v>105</v>
      </c>
      <c r="I24" s="16">
        <v>0</v>
      </c>
      <c r="J24" s="16">
        <v>0</v>
      </c>
      <c r="K24" s="16">
        <v>0</v>
      </c>
      <c r="L24" s="16" t="s">
        <v>102</v>
      </c>
      <c r="M24" s="16" t="s">
        <v>102</v>
      </c>
      <c r="N24" s="16" t="s">
        <v>102</v>
      </c>
      <c r="O24" s="16">
        <v>0.1</v>
      </c>
      <c r="P24" s="16">
        <v>0.1</v>
      </c>
      <c r="Q24" s="16">
        <v>0.2</v>
      </c>
      <c r="R24" s="16">
        <v>0.2</v>
      </c>
      <c r="S24" s="16">
        <v>0.3</v>
      </c>
      <c r="T24" s="16">
        <v>0.4</v>
      </c>
      <c r="U24" s="16">
        <v>0.5</v>
      </c>
      <c r="V24" s="16">
        <v>0.6</v>
      </c>
      <c r="W24" s="16">
        <v>0.7</v>
      </c>
      <c r="X24" s="16">
        <v>0.8</v>
      </c>
      <c r="Y24" s="16">
        <v>1</v>
      </c>
      <c r="Z24" s="16">
        <v>1.3</v>
      </c>
      <c r="AA24" s="16">
        <v>1.8</v>
      </c>
      <c r="AB24" s="16">
        <v>2.1</v>
      </c>
      <c r="AC24" s="16" t="s">
        <v>414</v>
      </c>
      <c r="AD24" s="12" t="s">
        <v>164</v>
      </c>
    </row>
    <row r="25" spans="1:30" ht="32">
      <c r="A25" s="12" t="s">
        <v>154</v>
      </c>
      <c r="B25" s="12" t="s">
        <v>155</v>
      </c>
      <c r="C25" s="16" t="s">
        <v>101</v>
      </c>
      <c r="D25" s="17">
        <v>5543</v>
      </c>
      <c r="E25" s="16">
        <v>84</v>
      </c>
      <c r="F25" s="16">
        <v>0.55000000000000004</v>
      </c>
      <c r="G25" s="16">
        <v>0.01</v>
      </c>
      <c r="H25" s="16">
        <v>0</v>
      </c>
      <c r="I25" s="16">
        <v>0</v>
      </c>
      <c r="J25" s="16">
        <v>0</v>
      </c>
      <c r="K25" s="16">
        <v>0</v>
      </c>
      <c r="L25" s="16" t="s">
        <v>102</v>
      </c>
      <c r="M25" s="16" t="s">
        <v>102</v>
      </c>
      <c r="N25" s="16">
        <v>0.1</v>
      </c>
      <c r="O25" s="16">
        <v>0.1</v>
      </c>
      <c r="P25" s="16">
        <v>0.2</v>
      </c>
      <c r="Q25" s="16">
        <v>0.3</v>
      </c>
      <c r="R25" s="16">
        <v>0.3</v>
      </c>
      <c r="S25" s="16">
        <v>0.4</v>
      </c>
      <c r="T25" s="16">
        <v>0.5</v>
      </c>
      <c r="U25" s="16">
        <v>0.6</v>
      </c>
      <c r="V25" s="16">
        <v>0.7</v>
      </c>
      <c r="W25" s="16">
        <v>0.8</v>
      </c>
      <c r="X25" s="16">
        <v>0.9</v>
      </c>
      <c r="Y25" s="16">
        <v>1.1000000000000001</v>
      </c>
      <c r="Z25" s="16">
        <v>1.4</v>
      </c>
      <c r="AA25" s="16">
        <v>1.9</v>
      </c>
      <c r="AB25" s="16">
        <v>2.6</v>
      </c>
      <c r="AC25" s="16">
        <v>3.1</v>
      </c>
      <c r="AD25" s="12" t="s">
        <v>415</v>
      </c>
    </row>
    <row r="26" spans="1:30" ht="32">
      <c r="A26" s="12" t="s">
        <v>100</v>
      </c>
      <c r="B26" s="12" t="s">
        <v>101</v>
      </c>
      <c r="C26" s="16" t="s">
        <v>157</v>
      </c>
      <c r="D26" s="17">
        <v>5787</v>
      </c>
      <c r="E26" s="16">
        <v>84</v>
      </c>
      <c r="F26" s="16">
        <v>0.82</v>
      </c>
      <c r="G26" s="16">
        <v>0.03</v>
      </c>
      <c r="H26" s="16">
        <v>0</v>
      </c>
      <c r="I26" s="16">
        <v>0</v>
      </c>
      <c r="J26" s="16">
        <v>0</v>
      </c>
      <c r="K26" s="16">
        <v>0</v>
      </c>
      <c r="L26" s="16" t="s">
        <v>102</v>
      </c>
      <c r="M26" s="16">
        <v>0.1</v>
      </c>
      <c r="N26" s="16">
        <v>0.1</v>
      </c>
      <c r="O26" s="16">
        <v>0.2</v>
      </c>
      <c r="P26" s="16">
        <v>0.3</v>
      </c>
      <c r="Q26" s="16">
        <v>0.4</v>
      </c>
      <c r="R26" s="16">
        <v>0.5</v>
      </c>
      <c r="S26" s="16">
        <v>0.6</v>
      </c>
      <c r="T26" s="16">
        <v>0.7</v>
      </c>
      <c r="U26" s="16">
        <v>0.8</v>
      </c>
      <c r="V26" s="16">
        <v>1</v>
      </c>
      <c r="W26" s="16">
        <v>1.2</v>
      </c>
      <c r="X26" s="16">
        <v>1.4</v>
      </c>
      <c r="Y26" s="16">
        <v>1.7</v>
      </c>
      <c r="Z26" s="16">
        <v>2.1</v>
      </c>
      <c r="AA26" s="16">
        <v>2.8</v>
      </c>
      <c r="AB26" s="16">
        <v>3.7</v>
      </c>
      <c r="AC26" s="16">
        <v>4.8</v>
      </c>
      <c r="AD26" s="12" t="s">
        <v>408</v>
      </c>
    </row>
    <row r="27" spans="1:30" ht="48">
      <c r="A27" s="12" t="s">
        <v>100</v>
      </c>
      <c r="B27" s="12" t="s">
        <v>101</v>
      </c>
      <c r="C27" s="16" t="s">
        <v>159</v>
      </c>
      <c r="D27" s="17">
        <v>5337</v>
      </c>
      <c r="E27" s="16">
        <v>86</v>
      </c>
      <c r="F27" s="16">
        <v>0.72</v>
      </c>
      <c r="G27" s="16">
        <v>0.02</v>
      </c>
      <c r="H27" s="16">
        <v>0</v>
      </c>
      <c r="I27" s="16">
        <v>0</v>
      </c>
      <c r="J27" s="16">
        <v>0</v>
      </c>
      <c r="K27" s="16" t="s">
        <v>102</v>
      </c>
      <c r="L27" s="16" t="s">
        <v>102</v>
      </c>
      <c r="M27" s="16" t="s">
        <v>102</v>
      </c>
      <c r="N27" s="16">
        <v>0.1</v>
      </c>
      <c r="O27" s="16">
        <v>0.2</v>
      </c>
      <c r="P27" s="16">
        <v>0.2</v>
      </c>
      <c r="Q27" s="16">
        <v>0.3</v>
      </c>
      <c r="R27" s="16">
        <v>0.4</v>
      </c>
      <c r="S27" s="16">
        <v>0.5</v>
      </c>
      <c r="T27" s="16">
        <v>0.6</v>
      </c>
      <c r="U27" s="16">
        <v>0.7</v>
      </c>
      <c r="V27" s="16">
        <v>0.8</v>
      </c>
      <c r="W27" s="16">
        <v>1</v>
      </c>
      <c r="X27" s="16">
        <v>1.2</v>
      </c>
      <c r="Y27" s="16">
        <v>1.5</v>
      </c>
      <c r="Z27" s="16">
        <v>1.8</v>
      </c>
      <c r="AA27" s="16">
        <v>2.6</v>
      </c>
      <c r="AB27" s="16">
        <v>3.5</v>
      </c>
      <c r="AC27" s="16">
        <v>4.4000000000000004</v>
      </c>
      <c r="AD27" s="12" t="s">
        <v>394</v>
      </c>
    </row>
    <row r="28" spans="1:30" ht="48">
      <c r="A28" s="12" t="s">
        <v>100</v>
      </c>
      <c r="B28" s="12" t="s">
        <v>101</v>
      </c>
      <c r="C28" s="16" t="s">
        <v>160</v>
      </c>
      <c r="D28" s="17">
        <v>10294</v>
      </c>
      <c r="E28" s="16">
        <v>87</v>
      </c>
      <c r="F28" s="16">
        <v>0.73</v>
      </c>
      <c r="G28" s="16">
        <v>0.02</v>
      </c>
      <c r="H28" s="16">
        <v>0</v>
      </c>
      <c r="I28" s="16">
        <v>0</v>
      </c>
      <c r="J28" s="16">
        <v>0</v>
      </c>
      <c r="K28" s="16" t="s">
        <v>102</v>
      </c>
      <c r="L28" s="16" t="s">
        <v>102</v>
      </c>
      <c r="M28" s="16">
        <v>0.1</v>
      </c>
      <c r="N28" s="16">
        <v>0.1</v>
      </c>
      <c r="O28" s="16">
        <v>0.2</v>
      </c>
      <c r="P28" s="16">
        <v>0.3</v>
      </c>
      <c r="Q28" s="16">
        <v>0.4</v>
      </c>
      <c r="R28" s="16">
        <v>0.5</v>
      </c>
      <c r="S28" s="16">
        <v>0.5</v>
      </c>
      <c r="T28" s="16">
        <v>0.6</v>
      </c>
      <c r="U28" s="16">
        <v>0.8</v>
      </c>
      <c r="V28" s="16">
        <v>0.9</v>
      </c>
      <c r="W28" s="16">
        <v>1</v>
      </c>
      <c r="X28" s="16">
        <v>1.2</v>
      </c>
      <c r="Y28" s="16">
        <v>1.5</v>
      </c>
      <c r="Z28" s="16">
        <v>1.8</v>
      </c>
      <c r="AA28" s="16">
        <v>2.4</v>
      </c>
      <c r="AB28" s="16">
        <v>3</v>
      </c>
      <c r="AC28" s="16">
        <v>4</v>
      </c>
      <c r="AD28" s="12" t="s">
        <v>405</v>
      </c>
    </row>
    <row r="29" spans="1:30" ht="32">
      <c r="A29" s="12" t="s">
        <v>100</v>
      </c>
      <c r="B29" s="12" t="s">
        <v>101</v>
      </c>
      <c r="C29" s="16" t="s">
        <v>161</v>
      </c>
      <c r="D29" s="17">
        <v>2082</v>
      </c>
      <c r="E29" s="16">
        <v>80</v>
      </c>
      <c r="F29" s="16">
        <v>0.73</v>
      </c>
      <c r="G29" s="16">
        <v>0.06</v>
      </c>
      <c r="H29" s="16">
        <v>0</v>
      </c>
      <c r="I29" s="16">
        <v>0</v>
      </c>
      <c r="J29" s="16">
        <v>0</v>
      </c>
      <c r="K29" s="16">
        <v>0</v>
      </c>
      <c r="L29" s="16">
        <v>0</v>
      </c>
      <c r="M29" s="16" t="s">
        <v>102</v>
      </c>
      <c r="N29" s="16" t="s">
        <v>102</v>
      </c>
      <c r="O29" s="16">
        <v>0.1</v>
      </c>
      <c r="P29" s="16">
        <v>0.2</v>
      </c>
      <c r="Q29" s="16">
        <v>0.3</v>
      </c>
      <c r="R29" s="16">
        <v>0.4</v>
      </c>
      <c r="S29" s="16">
        <v>0.5</v>
      </c>
      <c r="T29" s="16">
        <v>0.6</v>
      </c>
      <c r="U29" s="16">
        <v>0.7</v>
      </c>
      <c r="V29" s="16">
        <v>0.9</v>
      </c>
      <c r="W29" s="16">
        <v>1</v>
      </c>
      <c r="X29" s="16">
        <v>1.2</v>
      </c>
      <c r="Y29" s="16">
        <v>1.4</v>
      </c>
      <c r="Z29" s="16">
        <v>1.8</v>
      </c>
      <c r="AA29" s="16">
        <v>2.6</v>
      </c>
      <c r="AB29" s="16">
        <v>3.5</v>
      </c>
      <c r="AC29" s="16">
        <v>5.5</v>
      </c>
      <c r="AD29" s="12" t="s">
        <v>412</v>
      </c>
    </row>
    <row r="30" spans="1:30" ht="64">
      <c r="A30" s="12" t="s">
        <v>100</v>
      </c>
      <c r="B30" s="12" t="s">
        <v>101</v>
      </c>
      <c r="C30" s="16" t="s">
        <v>163</v>
      </c>
      <c r="D30" s="17">
        <v>1173</v>
      </c>
      <c r="E30" s="16">
        <v>81</v>
      </c>
      <c r="F30" s="16">
        <v>0.68</v>
      </c>
      <c r="G30" s="16">
        <v>0.04</v>
      </c>
      <c r="H30" s="16" t="s">
        <v>105</v>
      </c>
      <c r="I30" s="16">
        <v>0</v>
      </c>
      <c r="J30" s="16">
        <v>0</v>
      </c>
      <c r="K30" s="16">
        <v>0</v>
      </c>
      <c r="L30" s="16" t="s">
        <v>102</v>
      </c>
      <c r="M30" s="16" t="s">
        <v>102</v>
      </c>
      <c r="N30" s="16" t="s">
        <v>102</v>
      </c>
      <c r="O30" s="16">
        <v>0.1</v>
      </c>
      <c r="P30" s="16">
        <v>0.2</v>
      </c>
      <c r="Q30" s="16">
        <v>0.3</v>
      </c>
      <c r="R30" s="16">
        <v>0.4</v>
      </c>
      <c r="S30" s="16">
        <v>0.4</v>
      </c>
      <c r="T30" s="16">
        <v>0.6</v>
      </c>
      <c r="U30" s="16">
        <v>0.7</v>
      </c>
      <c r="V30" s="16">
        <v>0.9</v>
      </c>
      <c r="W30" s="16">
        <v>1</v>
      </c>
      <c r="X30" s="16">
        <v>1.2</v>
      </c>
      <c r="Y30" s="16">
        <v>1.5</v>
      </c>
      <c r="Z30" s="16">
        <v>1.8</v>
      </c>
      <c r="AA30" s="16">
        <v>2.5</v>
      </c>
      <c r="AB30" s="16">
        <v>3.3</v>
      </c>
      <c r="AC30" s="16" t="s">
        <v>116</v>
      </c>
      <c r="AD30" s="12" t="s">
        <v>416</v>
      </c>
    </row>
    <row r="32" spans="1:30">
      <c r="A32" s="18" t="s">
        <v>166</v>
      </c>
    </row>
    <row r="34" spans="1:1">
      <c r="A34" s="18" t="s">
        <v>167</v>
      </c>
    </row>
  </sheetData>
  <mergeCells count="6">
    <mergeCell ref="A5:AD5"/>
    <mergeCell ref="A1:E2"/>
    <mergeCell ref="F1:R2"/>
    <mergeCell ref="A3:G3"/>
    <mergeCell ref="H3:AC3"/>
    <mergeCell ref="A4:C4"/>
  </mergeCells>
  <phoneticPr fontId="9" type="noConversion"/>
  <hyperlinks>
    <hyperlink ref="A32" r:id="rId1" location="q27" display="https://fcid.foodrisk.org/faq/ - q27" xr:uid="{11DB51C5-9E76-4B1E-B7CD-0E6A75F3B88E}"/>
    <hyperlink ref="A34" r:id="rId2" display="https://www.ars.usda.gov/northeast-area/beltsville-md/beltsville-human-nutrition-research-center/food-surveys-research-group/docs/wweianhanes-overview/" xr:uid="{1D6808EB-DFDC-4609-9A20-F85EB280BF1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FDB7-5F9A-44CD-A193-1C974F0414B3}">
  <dimension ref="A1:AD34"/>
  <sheetViews>
    <sheetView topLeftCell="D1" workbookViewId="0">
      <selection activeCell="F1" sqref="F1:R2"/>
    </sheetView>
  </sheetViews>
  <sheetFormatPr baseColWidth="10" defaultColWidth="8.83203125" defaultRowHeight="15"/>
  <sheetData>
    <row r="1" spans="1:30">
      <c r="A1" s="68" t="s">
        <v>91</v>
      </c>
      <c r="B1" s="68"/>
      <c r="C1" s="68"/>
      <c r="D1" s="68"/>
      <c r="E1" s="68"/>
      <c r="F1" s="69" t="s">
        <v>392</v>
      </c>
      <c r="G1" s="69"/>
      <c r="H1" s="69"/>
      <c r="I1" s="69"/>
      <c r="J1" s="69"/>
      <c r="K1" s="69"/>
      <c r="L1" s="69"/>
      <c r="M1" s="69"/>
      <c r="N1" s="69"/>
      <c r="O1" s="69"/>
      <c r="P1" s="69"/>
      <c r="Q1" s="69"/>
      <c r="R1" s="69"/>
    </row>
    <row r="2" spans="1:30">
      <c r="A2" s="68"/>
      <c r="B2" s="68"/>
      <c r="C2" s="68"/>
      <c r="D2" s="68"/>
      <c r="E2" s="68"/>
      <c r="F2" s="69"/>
      <c r="G2" s="69"/>
      <c r="H2" s="69"/>
      <c r="I2" s="69"/>
      <c r="J2" s="69"/>
      <c r="K2" s="69"/>
      <c r="L2" s="69"/>
      <c r="M2" s="69"/>
      <c r="N2" s="69"/>
      <c r="O2" s="69"/>
      <c r="P2" s="69"/>
      <c r="Q2" s="69"/>
      <c r="R2" s="69"/>
    </row>
    <row r="3" spans="1:30" ht="16" thickBot="1">
      <c r="A3" s="70"/>
      <c r="B3" s="70"/>
      <c r="C3" s="70"/>
      <c r="D3" s="70"/>
      <c r="E3" s="70"/>
      <c r="F3" s="70"/>
      <c r="G3" s="70"/>
      <c r="H3" s="71" t="s">
        <v>93</v>
      </c>
      <c r="I3" s="71"/>
      <c r="J3" s="71"/>
      <c r="K3" s="71"/>
      <c r="L3" s="71"/>
      <c r="M3" s="71"/>
      <c r="N3" s="71"/>
      <c r="O3" s="71"/>
      <c r="P3" s="71"/>
      <c r="Q3" s="71"/>
      <c r="R3" s="71"/>
      <c r="S3" s="71"/>
      <c r="T3" s="71"/>
      <c r="U3" s="71"/>
      <c r="V3" s="71"/>
      <c r="W3" s="71"/>
      <c r="X3" s="71"/>
      <c r="Y3" s="71"/>
      <c r="Z3" s="71"/>
      <c r="AA3" s="71"/>
      <c r="AB3" s="71"/>
      <c r="AC3" s="71"/>
    </row>
    <row r="4" spans="1:30" ht="49" thickBot="1">
      <c r="A4" s="72"/>
      <c r="B4" s="72"/>
      <c r="C4" s="72"/>
      <c r="D4" s="13" t="s">
        <v>94</v>
      </c>
      <c r="E4" s="13" t="s">
        <v>95</v>
      </c>
      <c r="F4" s="13" t="s">
        <v>12</v>
      </c>
      <c r="G4" s="13" t="s">
        <v>13</v>
      </c>
      <c r="H4" s="14">
        <v>0.01</v>
      </c>
      <c r="I4" s="14">
        <v>0.05</v>
      </c>
      <c r="J4" s="14">
        <v>0.1</v>
      </c>
      <c r="K4" s="14">
        <v>0.15</v>
      </c>
      <c r="L4" s="14">
        <v>0.2</v>
      </c>
      <c r="M4" s="14">
        <v>0.25</v>
      </c>
      <c r="N4" s="14">
        <v>0.3</v>
      </c>
      <c r="O4" s="14">
        <v>0.35</v>
      </c>
      <c r="P4" s="14">
        <v>0.4</v>
      </c>
      <c r="Q4" s="14">
        <v>0.45</v>
      </c>
      <c r="R4" s="14">
        <v>0.5</v>
      </c>
      <c r="S4" s="14">
        <v>0.55000000000000004</v>
      </c>
      <c r="T4" s="14">
        <v>0.6</v>
      </c>
      <c r="U4" s="14">
        <v>0.65</v>
      </c>
      <c r="V4" s="14">
        <v>0.7</v>
      </c>
      <c r="W4" s="14">
        <v>0.75</v>
      </c>
      <c r="X4" s="14">
        <v>0.8</v>
      </c>
      <c r="Y4" s="14">
        <v>0.85</v>
      </c>
      <c r="Z4" s="14">
        <v>0.9</v>
      </c>
      <c r="AA4" s="14">
        <v>0.95</v>
      </c>
      <c r="AB4" s="15">
        <v>0.97499999999999998</v>
      </c>
      <c r="AC4" s="14">
        <v>0.99</v>
      </c>
      <c r="AD4" s="13" t="s">
        <v>14</v>
      </c>
    </row>
    <row r="5" spans="1:30" ht="16" thickBot="1">
      <c r="A5" s="67" t="s">
        <v>417</v>
      </c>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row>
    <row r="6" spans="1:30" ht="32">
      <c r="A6" s="13" t="s">
        <v>97</v>
      </c>
      <c r="B6" s="13" t="s">
        <v>98</v>
      </c>
      <c r="C6" s="13" t="s">
        <v>99</v>
      </c>
    </row>
    <row r="7" spans="1:30" ht="18">
      <c r="A7" s="12" t="s">
        <v>100</v>
      </c>
      <c r="B7" s="12" t="s">
        <v>101</v>
      </c>
      <c r="C7" s="16" t="s">
        <v>101</v>
      </c>
      <c r="D7" s="17">
        <v>24673</v>
      </c>
      <c r="E7" s="16">
        <v>100</v>
      </c>
      <c r="F7" s="19">
        <v>1.4</v>
      </c>
      <c r="G7" s="16">
        <v>0.03</v>
      </c>
      <c r="H7" s="16" t="s">
        <v>102</v>
      </c>
      <c r="I7" s="16">
        <v>0.1</v>
      </c>
      <c r="J7" s="16">
        <v>0.2</v>
      </c>
      <c r="K7" s="16">
        <v>0.3</v>
      </c>
      <c r="L7" s="16">
        <v>0.4</v>
      </c>
      <c r="M7" s="16">
        <v>0.4</v>
      </c>
      <c r="N7" s="16">
        <v>0.5</v>
      </c>
      <c r="O7" s="16">
        <v>0.6</v>
      </c>
      <c r="P7" s="16">
        <v>0.7</v>
      </c>
      <c r="Q7" s="16">
        <v>0.8</v>
      </c>
      <c r="R7" s="16">
        <v>1</v>
      </c>
      <c r="S7" s="16">
        <v>1.1000000000000001</v>
      </c>
      <c r="T7" s="16">
        <v>1.2</v>
      </c>
      <c r="U7" s="16">
        <v>1.4</v>
      </c>
      <c r="V7" s="16">
        <v>1.6</v>
      </c>
      <c r="W7" s="16">
        <v>1.9</v>
      </c>
      <c r="X7" s="16">
        <v>2.1</v>
      </c>
      <c r="Y7" s="16">
        <v>2.5</v>
      </c>
      <c r="Z7" s="16">
        <v>3.1</v>
      </c>
      <c r="AA7" s="16">
        <v>4.0999999999999996</v>
      </c>
      <c r="AB7" s="16">
        <v>5.3</v>
      </c>
      <c r="AC7" s="16">
        <v>7.2</v>
      </c>
      <c r="AD7" s="12" t="s">
        <v>418</v>
      </c>
    </row>
    <row r="8" spans="1:30" ht="32">
      <c r="A8" s="12" t="s">
        <v>104</v>
      </c>
      <c r="B8" s="12" t="s">
        <v>101</v>
      </c>
      <c r="C8" s="16" t="s">
        <v>101</v>
      </c>
      <c r="D8" s="16">
        <v>87</v>
      </c>
      <c r="E8" s="16">
        <v>46</v>
      </c>
      <c r="F8" s="16">
        <v>3.98</v>
      </c>
      <c r="G8" s="16">
        <v>0.77</v>
      </c>
      <c r="H8" s="16" t="s">
        <v>105</v>
      </c>
      <c r="I8" s="16" t="s">
        <v>105</v>
      </c>
      <c r="J8" s="16" t="s">
        <v>105</v>
      </c>
      <c r="K8" s="16" t="s">
        <v>105</v>
      </c>
      <c r="L8" s="16" t="s">
        <v>105</v>
      </c>
      <c r="M8" s="16">
        <v>0</v>
      </c>
      <c r="N8" s="16">
        <v>0</v>
      </c>
      <c r="O8" s="16">
        <v>0</v>
      </c>
      <c r="P8" s="16">
        <v>0</v>
      </c>
      <c r="Q8" s="16">
        <v>0</v>
      </c>
      <c r="R8" s="16">
        <v>0</v>
      </c>
      <c r="S8" s="16">
        <v>0.9</v>
      </c>
      <c r="T8" s="16">
        <v>2.2999999999999998</v>
      </c>
      <c r="U8" s="16">
        <v>4.3</v>
      </c>
      <c r="V8" s="16">
        <v>6.7</v>
      </c>
      <c r="W8" s="16">
        <v>7.9</v>
      </c>
      <c r="X8" s="16" t="s">
        <v>419</v>
      </c>
      <c r="Y8" s="16" t="s">
        <v>420</v>
      </c>
      <c r="Z8" s="16" t="s">
        <v>421</v>
      </c>
      <c r="AA8" s="16" t="s">
        <v>422</v>
      </c>
      <c r="AB8" s="16" t="s">
        <v>423</v>
      </c>
      <c r="AC8" s="16" t="s">
        <v>423</v>
      </c>
      <c r="AD8" s="12" t="s">
        <v>394</v>
      </c>
    </row>
    <row r="9" spans="1:30" ht="32">
      <c r="A9" s="12" t="s">
        <v>110</v>
      </c>
      <c r="B9" s="12" t="s">
        <v>101</v>
      </c>
      <c r="C9" s="16" t="s">
        <v>101</v>
      </c>
      <c r="D9" s="16">
        <v>233</v>
      </c>
      <c r="E9" s="16">
        <v>41</v>
      </c>
      <c r="F9" s="16">
        <v>3.79</v>
      </c>
      <c r="G9" s="16">
        <v>0.6</v>
      </c>
      <c r="H9" s="16" t="s">
        <v>105</v>
      </c>
      <c r="I9" s="16" t="s">
        <v>105</v>
      </c>
      <c r="J9" s="16">
        <v>0</v>
      </c>
      <c r="K9" s="16">
        <v>0</v>
      </c>
      <c r="L9" s="16">
        <v>0</v>
      </c>
      <c r="M9" s="16">
        <v>0</v>
      </c>
      <c r="N9" s="16">
        <v>0</v>
      </c>
      <c r="O9" s="16">
        <v>0</v>
      </c>
      <c r="P9" s="16">
        <v>0</v>
      </c>
      <c r="Q9" s="16">
        <v>0</v>
      </c>
      <c r="R9" s="16">
        <v>0</v>
      </c>
      <c r="S9" s="16">
        <v>0</v>
      </c>
      <c r="T9" s="16">
        <v>1</v>
      </c>
      <c r="U9" s="16">
        <v>3.2</v>
      </c>
      <c r="V9" s="16">
        <v>4.5</v>
      </c>
      <c r="W9" s="16">
        <v>5.4</v>
      </c>
      <c r="X9" s="16">
        <v>9.5</v>
      </c>
      <c r="Y9" s="16">
        <v>11.2</v>
      </c>
      <c r="Z9" s="16">
        <v>12.5</v>
      </c>
      <c r="AA9" s="16" t="s">
        <v>424</v>
      </c>
      <c r="AB9" s="16" t="s">
        <v>425</v>
      </c>
      <c r="AC9" s="16" t="s">
        <v>426</v>
      </c>
      <c r="AD9" s="12" t="s">
        <v>418</v>
      </c>
    </row>
    <row r="10" spans="1:30" ht="32">
      <c r="A10" s="12" t="s">
        <v>114</v>
      </c>
      <c r="B10" s="12" t="s">
        <v>101</v>
      </c>
      <c r="C10" s="16" t="s">
        <v>101</v>
      </c>
      <c r="D10" s="16">
        <v>282</v>
      </c>
      <c r="E10" s="16">
        <v>68</v>
      </c>
      <c r="F10" s="16">
        <v>3.2</v>
      </c>
      <c r="G10" s="16">
        <v>0.37</v>
      </c>
      <c r="H10" s="16" t="s">
        <v>105</v>
      </c>
      <c r="I10" s="16" t="s">
        <v>105</v>
      </c>
      <c r="J10" s="16">
        <v>0</v>
      </c>
      <c r="K10" s="16">
        <v>0</v>
      </c>
      <c r="L10" s="16">
        <v>0</v>
      </c>
      <c r="M10" s="16">
        <v>0</v>
      </c>
      <c r="N10" s="16">
        <v>0</v>
      </c>
      <c r="O10" s="16" t="s">
        <v>102</v>
      </c>
      <c r="P10" s="16">
        <v>0.2</v>
      </c>
      <c r="Q10" s="16">
        <v>0.8</v>
      </c>
      <c r="R10" s="16">
        <v>1.9</v>
      </c>
      <c r="S10" s="16">
        <v>2.2000000000000002</v>
      </c>
      <c r="T10" s="16">
        <v>2.6</v>
      </c>
      <c r="U10" s="16">
        <v>3.1</v>
      </c>
      <c r="V10" s="16">
        <v>4</v>
      </c>
      <c r="W10" s="16">
        <v>4.5</v>
      </c>
      <c r="X10" s="16">
        <v>6.1</v>
      </c>
      <c r="Y10" s="16">
        <v>7.9</v>
      </c>
      <c r="Z10" s="16">
        <v>9.4</v>
      </c>
      <c r="AA10" s="16" t="s">
        <v>427</v>
      </c>
      <c r="AB10" s="16" t="s">
        <v>137</v>
      </c>
      <c r="AC10" s="16" t="s">
        <v>428</v>
      </c>
      <c r="AD10" s="12" t="s">
        <v>429</v>
      </c>
    </row>
    <row r="11" spans="1:30" ht="32">
      <c r="A11" s="12" t="s">
        <v>119</v>
      </c>
      <c r="B11" s="12" t="s">
        <v>101</v>
      </c>
      <c r="C11" s="16" t="s">
        <v>101</v>
      </c>
      <c r="D11" s="16">
        <v>588</v>
      </c>
      <c r="E11" s="16">
        <v>95</v>
      </c>
      <c r="F11" s="16">
        <v>3.44</v>
      </c>
      <c r="G11" s="16">
        <v>0.24</v>
      </c>
      <c r="H11" s="16" t="s">
        <v>105</v>
      </c>
      <c r="I11" s="16" t="s">
        <v>102</v>
      </c>
      <c r="J11" s="16">
        <v>0.1</v>
      </c>
      <c r="K11" s="16">
        <v>0.4</v>
      </c>
      <c r="L11" s="16">
        <v>0.5</v>
      </c>
      <c r="M11" s="16">
        <v>0.6</v>
      </c>
      <c r="N11" s="16">
        <v>0.9</v>
      </c>
      <c r="O11" s="16">
        <v>1.2</v>
      </c>
      <c r="P11" s="16">
        <v>1.4</v>
      </c>
      <c r="Q11" s="16">
        <v>1.7</v>
      </c>
      <c r="R11" s="16">
        <v>2</v>
      </c>
      <c r="S11" s="16">
        <v>2.5</v>
      </c>
      <c r="T11" s="16">
        <v>2.9</v>
      </c>
      <c r="U11" s="16">
        <v>3.7</v>
      </c>
      <c r="V11" s="16">
        <v>4.4000000000000004</v>
      </c>
      <c r="W11" s="16">
        <v>5.4</v>
      </c>
      <c r="X11" s="16">
        <v>6.2</v>
      </c>
      <c r="Y11" s="16">
        <v>7.5</v>
      </c>
      <c r="Z11" s="16">
        <v>9</v>
      </c>
      <c r="AA11" s="16">
        <v>10.3</v>
      </c>
      <c r="AB11" s="16" t="s">
        <v>407</v>
      </c>
      <c r="AC11" s="16" t="s">
        <v>430</v>
      </c>
      <c r="AD11" s="12" t="s">
        <v>431</v>
      </c>
    </row>
    <row r="12" spans="1:30" ht="32">
      <c r="A12" s="12" t="s">
        <v>122</v>
      </c>
      <c r="B12" s="12" t="s">
        <v>101</v>
      </c>
      <c r="C12" s="16" t="s">
        <v>101</v>
      </c>
      <c r="D12" s="16">
        <v>728</v>
      </c>
      <c r="E12" s="16">
        <v>100</v>
      </c>
      <c r="F12" s="16">
        <v>2.73</v>
      </c>
      <c r="G12" s="16">
        <v>0.09</v>
      </c>
      <c r="H12" s="16" t="s">
        <v>123</v>
      </c>
      <c r="I12" s="16">
        <v>0.3</v>
      </c>
      <c r="J12" s="16">
        <v>0.6</v>
      </c>
      <c r="K12" s="16">
        <v>0.8</v>
      </c>
      <c r="L12" s="16">
        <v>1.1000000000000001</v>
      </c>
      <c r="M12" s="16">
        <v>1.2</v>
      </c>
      <c r="N12" s="16">
        <v>1.4</v>
      </c>
      <c r="O12" s="16">
        <v>1.5</v>
      </c>
      <c r="P12" s="16">
        <v>1.8</v>
      </c>
      <c r="Q12" s="16">
        <v>2</v>
      </c>
      <c r="R12" s="16">
        <v>2.2999999999999998</v>
      </c>
      <c r="S12" s="16">
        <v>2.5</v>
      </c>
      <c r="T12" s="16">
        <v>2.8</v>
      </c>
      <c r="U12" s="16">
        <v>3</v>
      </c>
      <c r="V12" s="16">
        <v>3.3</v>
      </c>
      <c r="W12" s="16">
        <v>3.7</v>
      </c>
      <c r="X12" s="16">
        <v>4.0999999999999996</v>
      </c>
      <c r="Y12" s="16">
        <v>4.5</v>
      </c>
      <c r="Z12" s="16">
        <v>5.7</v>
      </c>
      <c r="AA12" s="16">
        <v>7</v>
      </c>
      <c r="AB12" s="16" t="s">
        <v>109</v>
      </c>
      <c r="AC12" s="16" t="s">
        <v>142</v>
      </c>
      <c r="AD12" s="12" t="s">
        <v>432</v>
      </c>
    </row>
    <row r="13" spans="1:30" ht="32">
      <c r="A13" s="12" t="s">
        <v>126</v>
      </c>
      <c r="B13" s="12" t="s">
        <v>101</v>
      </c>
      <c r="C13" s="16" t="s">
        <v>101</v>
      </c>
      <c r="D13" s="16">
        <v>751</v>
      </c>
      <c r="E13" s="16">
        <v>100</v>
      </c>
      <c r="F13" s="16">
        <v>3.5</v>
      </c>
      <c r="G13" s="16">
        <v>0.14000000000000001</v>
      </c>
      <c r="H13" s="16" t="s">
        <v>433</v>
      </c>
      <c r="I13" s="16">
        <v>0.6</v>
      </c>
      <c r="J13" s="16">
        <v>1</v>
      </c>
      <c r="K13" s="16">
        <v>1.2</v>
      </c>
      <c r="L13" s="16">
        <v>1.5</v>
      </c>
      <c r="M13" s="16">
        <v>1.7</v>
      </c>
      <c r="N13" s="16">
        <v>2</v>
      </c>
      <c r="O13" s="16">
        <v>2.1</v>
      </c>
      <c r="P13" s="16">
        <v>2.4</v>
      </c>
      <c r="Q13" s="16">
        <v>2.6</v>
      </c>
      <c r="R13" s="16">
        <v>2.8</v>
      </c>
      <c r="S13" s="16">
        <v>3.2</v>
      </c>
      <c r="T13" s="16">
        <v>3.5</v>
      </c>
      <c r="U13" s="16">
        <v>3.7</v>
      </c>
      <c r="V13" s="16">
        <v>4.0999999999999996</v>
      </c>
      <c r="W13" s="16">
        <v>4.4000000000000004</v>
      </c>
      <c r="X13" s="16">
        <v>4.9000000000000004</v>
      </c>
      <c r="Y13" s="16">
        <v>5.7</v>
      </c>
      <c r="Z13" s="16">
        <v>7</v>
      </c>
      <c r="AA13" s="16">
        <v>8.4</v>
      </c>
      <c r="AB13" s="16" t="s">
        <v>132</v>
      </c>
      <c r="AC13" s="16" t="s">
        <v>434</v>
      </c>
      <c r="AD13" s="12" t="s">
        <v>435</v>
      </c>
    </row>
    <row r="14" spans="1:30" ht="32">
      <c r="A14" s="12" t="s">
        <v>130</v>
      </c>
      <c r="B14" s="12" t="s">
        <v>101</v>
      </c>
      <c r="C14" s="16" t="s">
        <v>101</v>
      </c>
      <c r="D14" s="17">
        <v>1418</v>
      </c>
      <c r="E14" s="16">
        <v>100</v>
      </c>
      <c r="F14" s="16">
        <v>3.27</v>
      </c>
      <c r="G14" s="16">
        <v>0.08</v>
      </c>
      <c r="H14" s="16" t="s">
        <v>436</v>
      </c>
      <c r="I14" s="16">
        <v>0.9</v>
      </c>
      <c r="J14" s="16">
        <v>1.1000000000000001</v>
      </c>
      <c r="K14" s="16">
        <v>1.4</v>
      </c>
      <c r="L14" s="16">
        <v>1.6</v>
      </c>
      <c r="M14" s="16">
        <v>1.9</v>
      </c>
      <c r="N14" s="16">
        <v>2</v>
      </c>
      <c r="O14" s="16">
        <v>2.2000000000000002</v>
      </c>
      <c r="P14" s="16">
        <v>2.4</v>
      </c>
      <c r="Q14" s="16">
        <v>2.6</v>
      </c>
      <c r="R14" s="16">
        <v>2.9</v>
      </c>
      <c r="S14" s="16">
        <v>3.1</v>
      </c>
      <c r="T14" s="16">
        <v>3.3</v>
      </c>
      <c r="U14" s="16">
        <v>3.6</v>
      </c>
      <c r="V14" s="16">
        <v>3.8</v>
      </c>
      <c r="W14" s="16">
        <v>4.2</v>
      </c>
      <c r="X14" s="16">
        <v>4.7</v>
      </c>
      <c r="Y14" s="16">
        <v>5.2</v>
      </c>
      <c r="Z14" s="16">
        <v>5.9</v>
      </c>
      <c r="AA14" s="16">
        <v>6.9</v>
      </c>
      <c r="AB14" s="16">
        <v>8.5</v>
      </c>
      <c r="AC14" s="16" t="s">
        <v>132</v>
      </c>
      <c r="AD14" s="12" t="s">
        <v>424</v>
      </c>
    </row>
    <row r="15" spans="1:30" ht="32">
      <c r="A15" s="12" t="s">
        <v>134</v>
      </c>
      <c r="B15" s="12" t="s">
        <v>101</v>
      </c>
      <c r="C15" s="16" t="s">
        <v>101</v>
      </c>
      <c r="D15" s="17">
        <v>2292</v>
      </c>
      <c r="E15" s="16">
        <v>100</v>
      </c>
      <c r="F15" s="16">
        <v>2.67</v>
      </c>
      <c r="G15" s="16">
        <v>0.06</v>
      </c>
      <c r="H15" s="16">
        <v>0.2</v>
      </c>
      <c r="I15" s="16">
        <v>0.6</v>
      </c>
      <c r="J15" s="16">
        <v>0.9</v>
      </c>
      <c r="K15" s="16">
        <v>1.1000000000000001</v>
      </c>
      <c r="L15" s="16">
        <v>1.3</v>
      </c>
      <c r="M15" s="16">
        <v>1.5</v>
      </c>
      <c r="N15" s="16">
        <v>1.6</v>
      </c>
      <c r="O15" s="16">
        <v>1.9</v>
      </c>
      <c r="P15" s="16">
        <v>2</v>
      </c>
      <c r="Q15" s="16">
        <v>2.1</v>
      </c>
      <c r="R15" s="16">
        <v>2.2999999999999998</v>
      </c>
      <c r="S15" s="16">
        <v>2.5</v>
      </c>
      <c r="T15" s="16">
        <v>2.7</v>
      </c>
      <c r="U15" s="16">
        <v>2.9</v>
      </c>
      <c r="V15" s="16">
        <v>3.1</v>
      </c>
      <c r="W15" s="16">
        <v>3.4</v>
      </c>
      <c r="X15" s="16">
        <v>3.7</v>
      </c>
      <c r="Y15" s="16">
        <v>4.2</v>
      </c>
      <c r="Z15" s="16">
        <v>4.8</v>
      </c>
      <c r="AA15" s="16">
        <v>5.9</v>
      </c>
      <c r="AB15" s="16">
        <v>7.5</v>
      </c>
      <c r="AC15" s="16">
        <v>8.6999999999999993</v>
      </c>
      <c r="AD15" s="12" t="s">
        <v>144</v>
      </c>
    </row>
    <row r="16" spans="1:30" ht="32">
      <c r="A16" s="12" t="s">
        <v>136</v>
      </c>
      <c r="B16" s="12" t="s">
        <v>101</v>
      </c>
      <c r="C16" s="16" t="s">
        <v>101</v>
      </c>
      <c r="D16" s="17">
        <v>2551</v>
      </c>
      <c r="E16" s="16">
        <v>100</v>
      </c>
      <c r="F16" s="16">
        <v>1.71</v>
      </c>
      <c r="G16" s="16">
        <v>0.04</v>
      </c>
      <c r="H16" s="16">
        <v>0.1</v>
      </c>
      <c r="I16" s="16">
        <v>0.3</v>
      </c>
      <c r="J16" s="16">
        <v>0.4</v>
      </c>
      <c r="K16" s="16">
        <v>0.6</v>
      </c>
      <c r="L16" s="16">
        <v>0.8</v>
      </c>
      <c r="M16" s="16">
        <v>0.9</v>
      </c>
      <c r="N16" s="16">
        <v>1</v>
      </c>
      <c r="O16" s="16">
        <v>1.1000000000000001</v>
      </c>
      <c r="P16" s="16">
        <v>1.2</v>
      </c>
      <c r="Q16" s="16">
        <v>1.3</v>
      </c>
      <c r="R16" s="16">
        <v>1.4</v>
      </c>
      <c r="S16" s="16">
        <v>1.6</v>
      </c>
      <c r="T16" s="16">
        <v>1.7</v>
      </c>
      <c r="U16" s="16">
        <v>1.9</v>
      </c>
      <c r="V16" s="16">
        <v>2.1</v>
      </c>
      <c r="W16" s="16">
        <v>2.2999999999999998</v>
      </c>
      <c r="X16" s="16">
        <v>2.6</v>
      </c>
      <c r="Y16" s="16">
        <v>2.9</v>
      </c>
      <c r="Z16" s="16">
        <v>3.3</v>
      </c>
      <c r="AA16" s="16">
        <v>4</v>
      </c>
      <c r="AB16" s="16">
        <v>4.5</v>
      </c>
      <c r="AC16" s="16">
        <v>5.5</v>
      </c>
      <c r="AD16" s="12" t="s">
        <v>437</v>
      </c>
    </row>
    <row r="17" spans="1:30" ht="32">
      <c r="A17" s="12" t="s">
        <v>138</v>
      </c>
      <c r="B17" s="12" t="s">
        <v>101</v>
      </c>
      <c r="C17" s="16" t="s">
        <v>101</v>
      </c>
      <c r="D17" s="17">
        <v>2191</v>
      </c>
      <c r="E17" s="16">
        <v>100</v>
      </c>
      <c r="F17" s="16">
        <v>1.61</v>
      </c>
      <c r="G17" s="16">
        <v>0.05</v>
      </c>
      <c r="H17" s="16">
        <v>0.1</v>
      </c>
      <c r="I17" s="16">
        <v>0.2</v>
      </c>
      <c r="J17" s="16">
        <v>0.3</v>
      </c>
      <c r="K17" s="16">
        <v>0.5</v>
      </c>
      <c r="L17" s="16">
        <v>0.6</v>
      </c>
      <c r="M17" s="16">
        <v>0.7</v>
      </c>
      <c r="N17" s="16">
        <v>0.8</v>
      </c>
      <c r="O17" s="16">
        <v>0.9</v>
      </c>
      <c r="P17" s="16">
        <v>1.1000000000000001</v>
      </c>
      <c r="Q17" s="16">
        <v>1.2</v>
      </c>
      <c r="R17" s="16">
        <v>1.3</v>
      </c>
      <c r="S17" s="16">
        <v>1.4</v>
      </c>
      <c r="T17" s="16">
        <v>1.6</v>
      </c>
      <c r="U17" s="16">
        <v>1.7</v>
      </c>
      <c r="V17" s="16">
        <v>1.9</v>
      </c>
      <c r="W17" s="16">
        <v>2.1</v>
      </c>
      <c r="X17" s="16">
        <v>2.4</v>
      </c>
      <c r="Y17" s="16">
        <v>2.7</v>
      </c>
      <c r="Z17" s="16">
        <v>3.2</v>
      </c>
      <c r="AA17" s="16">
        <v>4</v>
      </c>
      <c r="AB17" s="16">
        <v>4.7</v>
      </c>
      <c r="AC17" s="16">
        <v>6</v>
      </c>
      <c r="AD17" s="12" t="s">
        <v>438</v>
      </c>
    </row>
    <row r="18" spans="1:30" ht="32">
      <c r="A18" s="12" t="s">
        <v>140</v>
      </c>
      <c r="B18" s="12" t="s">
        <v>101</v>
      </c>
      <c r="C18" s="16" t="s">
        <v>101</v>
      </c>
      <c r="D18" s="17">
        <v>2082</v>
      </c>
      <c r="E18" s="16">
        <v>100</v>
      </c>
      <c r="F18" s="16">
        <v>1.36</v>
      </c>
      <c r="G18" s="16">
        <v>0.04</v>
      </c>
      <c r="H18" s="16" t="s">
        <v>102</v>
      </c>
      <c r="I18" s="16">
        <v>0.1</v>
      </c>
      <c r="J18" s="16">
        <v>0.2</v>
      </c>
      <c r="K18" s="16">
        <v>0.3</v>
      </c>
      <c r="L18" s="16">
        <v>0.4</v>
      </c>
      <c r="M18" s="16">
        <v>0.5</v>
      </c>
      <c r="N18" s="16">
        <v>0.6</v>
      </c>
      <c r="O18" s="16">
        <v>0.7</v>
      </c>
      <c r="P18" s="16">
        <v>0.8</v>
      </c>
      <c r="Q18" s="16">
        <v>0.9</v>
      </c>
      <c r="R18" s="16">
        <v>1</v>
      </c>
      <c r="S18" s="16">
        <v>1.2</v>
      </c>
      <c r="T18" s="16">
        <v>1.3</v>
      </c>
      <c r="U18" s="16">
        <v>1.4</v>
      </c>
      <c r="V18" s="16">
        <v>1.6</v>
      </c>
      <c r="W18" s="16">
        <v>1.8</v>
      </c>
      <c r="X18" s="16">
        <v>2</v>
      </c>
      <c r="Y18" s="16">
        <v>2.4</v>
      </c>
      <c r="Z18" s="16">
        <v>2.9</v>
      </c>
      <c r="AA18" s="16">
        <v>3.7</v>
      </c>
      <c r="AB18" s="16">
        <v>4.5999999999999996</v>
      </c>
      <c r="AC18" s="16">
        <v>5.9</v>
      </c>
      <c r="AD18" s="12" t="s">
        <v>404</v>
      </c>
    </row>
    <row r="19" spans="1:30" ht="32">
      <c r="A19" s="12" t="s">
        <v>141</v>
      </c>
      <c r="B19" s="12" t="s">
        <v>101</v>
      </c>
      <c r="C19" s="16" t="s">
        <v>101</v>
      </c>
      <c r="D19" s="17">
        <v>2282</v>
      </c>
      <c r="E19" s="16">
        <v>100</v>
      </c>
      <c r="F19" s="16">
        <v>1.1599999999999999</v>
      </c>
      <c r="G19" s="16">
        <v>0.03</v>
      </c>
      <c r="H19" s="16" t="s">
        <v>102</v>
      </c>
      <c r="I19" s="16">
        <v>0.1</v>
      </c>
      <c r="J19" s="16">
        <v>0.2</v>
      </c>
      <c r="K19" s="16">
        <v>0.3</v>
      </c>
      <c r="L19" s="16">
        <v>0.3</v>
      </c>
      <c r="M19" s="16">
        <v>0.4</v>
      </c>
      <c r="N19" s="16">
        <v>0.5</v>
      </c>
      <c r="O19" s="16">
        <v>0.6</v>
      </c>
      <c r="P19" s="16">
        <v>0.7</v>
      </c>
      <c r="Q19" s="16">
        <v>0.7</v>
      </c>
      <c r="R19" s="16">
        <v>0.8</v>
      </c>
      <c r="S19" s="16">
        <v>0.9</v>
      </c>
      <c r="T19" s="16">
        <v>1.1000000000000001</v>
      </c>
      <c r="U19" s="16">
        <v>1.2</v>
      </c>
      <c r="V19" s="16">
        <v>1.4</v>
      </c>
      <c r="W19" s="16">
        <v>1.6</v>
      </c>
      <c r="X19" s="16">
        <v>1.8</v>
      </c>
      <c r="Y19" s="16">
        <v>2.1</v>
      </c>
      <c r="Z19" s="16">
        <v>2.6</v>
      </c>
      <c r="AA19" s="16">
        <v>3.3</v>
      </c>
      <c r="AB19" s="16">
        <v>3.8</v>
      </c>
      <c r="AC19" s="16">
        <v>4.9000000000000004</v>
      </c>
      <c r="AD19" s="12" t="s">
        <v>439</v>
      </c>
    </row>
    <row r="20" spans="1:30" ht="32">
      <c r="A20" s="12" t="s">
        <v>143</v>
      </c>
      <c r="B20" s="12" t="s">
        <v>101</v>
      </c>
      <c r="C20" s="16" t="s">
        <v>101</v>
      </c>
      <c r="D20" s="17">
        <v>2378</v>
      </c>
      <c r="E20" s="16">
        <v>100</v>
      </c>
      <c r="F20" s="16">
        <v>1.08</v>
      </c>
      <c r="G20" s="16">
        <v>0.04</v>
      </c>
      <c r="H20" s="16" t="s">
        <v>102</v>
      </c>
      <c r="I20" s="16">
        <v>0.1</v>
      </c>
      <c r="J20" s="16">
        <v>0.2</v>
      </c>
      <c r="K20" s="16">
        <v>0.2</v>
      </c>
      <c r="L20" s="16">
        <v>0.3</v>
      </c>
      <c r="M20" s="16">
        <v>0.4</v>
      </c>
      <c r="N20" s="16">
        <v>0.4</v>
      </c>
      <c r="O20" s="16">
        <v>0.5</v>
      </c>
      <c r="P20" s="16">
        <v>0.6</v>
      </c>
      <c r="Q20" s="16">
        <v>0.7</v>
      </c>
      <c r="R20" s="16">
        <v>0.8</v>
      </c>
      <c r="S20" s="16">
        <v>0.9</v>
      </c>
      <c r="T20" s="16">
        <v>1</v>
      </c>
      <c r="U20" s="16">
        <v>1.1000000000000001</v>
      </c>
      <c r="V20" s="16">
        <v>1.3</v>
      </c>
      <c r="W20" s="16">
        <v>1.5</v>
      </c>
      <c r="X20" s="16">
        <v>1.7</v>
      </c>
      <c r="Y20" s="16">
        <v>1.9</v>
      </c>
      <c r="Z20" s="16">
        <v>2.2999999999999998</v>
      </c>
      <c r="AA20" s="16">
        <v>3</v>
      </c>
      <c r="AB20" s="16">
        <v>3.7</v>
      </c>
      <c r="AC20" s="16">
        <v>5</v>
      </c>
      <c r="AD20" s="12" t="s">
        <v>440</v>
      </c>
    </row>
    <row r="21" spans="1:30" ht="32">
      <c r="A21" s="12" t="s">
        <v>145</v>
      </c>
      <c r="B21" s="12" t="s">
        <v>101</v>
      </c>
      <c r="C21" s="16" t="s">
        <v>101</v>
      </c>
      <c r="D21" s="17">
        <v>2103</v>
      </c>
      <c r="E21" s="16">
        <v>100</v>
      </c>
      <c r="F21" s="16">
        <v>0.87</v>
      </c>
      <c r="G21" s="16">
        <v>0.03</v>
      </c>
      <c r="H21" s="16" t="s">
        <v>102</v>
      </c>
      <c r="I21" s="16">
        <v>0.1</v>
      </c>
      <c r="J21" s="16">
        <v>0.2</v>
      </c>
      <c r="K21" s="16">
        <v>0.2</v>
      </c>
      <c r="L21" s="16">
        <v>0.3</v>
      </c>
      <c r="M21" s="16">
        <v>0.3</v>
      </c>
      <c r="N21" s="16">
        <v>0.4</v>
      </c>
      <c r="O21" s="16">
        <v>0.4</v>
      </c>
      <c r="P21" s="16">
        <v>0.5</v>
      </c>
      <c r="Q21" s="16">
        <v>0.6</v>
      </c>
      <c r="R21" s="16">
        <v>0.7</v>
      </c>
      <c r="S21" s="16">
        <v>0.7</v>
      </c>
      <c r="T21" s="16">
        <v>0.9</v>
      </c>
      <c r="U21" s="16">
        <v>1</v>
      </c>
      <c r="V21" s="16">
        <v>1.1000000000000001</v>
      </c>
      <c r="W21" s="16">
        <v>1.2</v>
      </c>
      <c r="X21" s="16">
        <v>1.4</v>
      </c>
      <c r="Y21" s="16">
        <v>1.6</v>
      </c>
      <c r="Z21" s="16">
        <v>1.9</v>
      </c>
      <c r="AA21" s="16">
        <v>2.2999999999999998</v>
      </c>
      <c r="AB21" s="16">
        <v>2.8</v>
      </c>
      <c r="AC21" s="16">
        <v>3.7</v>
      </c>
      <c r="AD21" s="12" t="s">
        <v>441</v>
      </c>
    </row>
    <row r="22" spans="1:30" ht="32">
      <c r="A22" s="12" t="s">
        <v>147</v>
      </c>
      <c r="B22" s="12" t="s">
        <v>101</v>
      </c>
      <c r="C22" s="16" t="s">
        <v>101</v>
      </c>
      <c r="D22" s="17">
        <v>2214</v>
      </c>
      <c r="E22" s="16">
        <v>100</v>
      </c>
      <c r="F22" s="16">
        <v>0.74</v>
      </c>
      <c r="G22" s="16">
        <v>0.03</v>
      </c>
      <c r="H22" s="16" t="s">
        <v>102</v>
      </c>
      <c r="I22" s="16">
        <v>0.1</v>
      </c>
      <c r="J22" s="16">
        <v>0.1</v>
      </c>
      <c r="K22" s="16">
        <v>0.2</v>
      </c>
      <c r="L22" s="16">
        <v>0.2</v>
      </c>
      <c r="M22" s="16">
        <v>0.3</v>
      </c>
      <c r="N22" s="16">
        <v>0.3</v>
      </c>
      <c r="O22" s="16">
        <v>0.4</v>
      </c>
      <c r="P22" s="16">
        <v>0.4</v>
      </c>
      <c r="Q22" s="16">
        <v>0.5</v>
      </c>
      <c r="R22" s="16">
        <v>0.5</v>
      </c>
      <c r="S22" s="16">
        <v>0.6</v>
      </c>
      <c r="T22" s="16">
        <v>0.7</v>
      </c>
      <c r="U22" s="16">
        <v>0.8</v>
      </c>
      <c r="V22" s="16">
        <v>0.9</v>
      </c>
      <c r="W22" s="16">
        <v>1</v>
      </c>
      <c r="X22" s="16">
        <v>1.1000000000000001</v>
      </c>
      <c r="Y22" s="16">
        <v>1.4</v>
      </c>
      <c r="Z22" s="16">
        <v>1.7</v>
      </c>
      <c r="AA22" s="16">
        <v>2.1</v>
      </c>
      <c r="AB22" s="16">
        <v>2.5</v>
      </c>
      <c r="AC22" s="16">
        <v>3.1</v>
      </c>
      <c r="AD22" s="12" t="s">
        <v>442</v>
      </c>
    </row>
    <row r="23" spans="1:30" ht="32">
      <c r="A23" s="12" t="s">
        <v>149</v>
      </c>
      <c r="B23" s="12" t="s">
        <v>101</v>
      </c>
      <c r="C23" s="16" t="s">
        <v>101</v>
      </c>
      <c r="D23" s="17">
        <v>1578</v>
      </c>
      <c r="E23" s="16">
        <v>100</v>
      </c>
      <c r="F23" s="16">
        <v>0.68</v>
      </c>
      <c r="G23" s="16">
        <v>0.02</v>
      </c>
      <c r="H23" s="16" t="s">
        <v>150</v>
      </c>
      <c r="I23" s="16">
        <v>0.1</v>
      </c>
      <c r="J23" s="16">
        <v>0.1</v>
      </c>
      <c r="K23" s="16">
        <v>0.2</v>
      </c>
      <c r="L23" s="16">
        <v>0.2</v>
      </c>
      <c r="M23" s="16">
        <v>0.3</v>
      </c>
      <c r="N23" s="16">
        <v>0.3</v>
      </c>
      <c r="O23" s="16">
        <v>0.4</v>
      </c>
      <c r="P23" s="16">
        <v>0.4</v>
      </c>
      <c r="Q23" s="16">
        <v>0.5</v>
      </c>
      <c r="R23" s="16">
        <v>0.5</v>
      </c>
      <c r="S23" s="16">
        <v>0.6</v>
      </c>
      <c r="T23" s="16">
        <v>0.7</v>
      </c>
      <c r="U23" s="16">
        <v>0.7</v>
      </c>
      <c r="V23" s="16">
        <v>0.8</v>
      </c>
      <c r="W23" s="16">
        <v>0.9</v>
      </c>
      <c r="X23" s="16">
        <v>1</v>
      </c>
      <c r="Y23" s="16">
        <v>1.2</v>
      </c>
      <c r="Z23" s="16">
        <v>1.4</v>
      </c>
      <c r="AA23" s="16">
        <v>1.8</v>
      </c>
      <c r="AB23" s="16">
        <v>2.2000000000000002</v>
      </c>
      <c r="AC23" s="16" t="s">
        <v>413</v>
      </c>
      <c r="AD23" s="12" t="s">
        <v>443</v>
      </c>
    </row>
    <row r="24" spans="1:30" ht="32">
      <c r="A24" s="12" t="s">
        <v>152</v>
      </c>
      <c r="B24" s="12" t="s">
        <v>101</v>
      </c>
      <c r="C24" s="16" t="s">
        <v>101</v>
      </c>
      <c r="D24" s="16">
        <v>915</v>
      </c>
      <c r="E24" s="16">
        <v>100</v>
      </c>
      <c r="F24" s="16">
        <v>0.68</v>
      </c>
      <c r="G24" s="16">
        <v>0.02</v>
      </c>
      <c r="H24" s="16" t="s">
        <v>150</v>
      </c>
      <c r="I24" s="16">
        <v>0.1</v>
      </c>
      <c r="J24" s="16">
        <v>0.1</v>
      </c>
      <c r="K24" s="16">
        <v>0.2</v>
      </c>
      <c r="L24" s="16">
        <v>0.2</v>
      </c>
      <c r="M24" s="16">
        <v>0.3</v>
      </c>
      <c r="N24" s="16">
        <v>0.3</v>
      </c>
      <c r="O24" s="16">
        <v>0.4</v>
      </c>
      <c r="P24" s="16">
        <v>0.4</v>
      </c>
      <c r="Q24" s="16">
        <v>0.5</v>
      </c>
      <c r="R24" s="16">
        <v>0.5</v>
      </c>
      <c r="S24" s="16">
        <v>0.6</v>
      </c>
      <c r="T24" s="16">
        <v>0.6</v>
      </c>
      <c r="U24" s="16">
        <v>0.7</v>
      </c>
      <c r="V24" s="16">
        <v>0.8</v>
      </c>
      <c r="W24" s="16">
        <v>0.9</v>
      </c>
      <c r="X24" s="16">
        <v>1.1000000000000001</v>
      </c>
      <c r="Y24" s="16">
        <v>1.2</v>
      </c>
      <c r="Z24" s="16">
        <v>1.4</v>
      </c>
      <c r="AA24" s="16">
        <v>1.7</v>
      </c>
      <c r="AB24" s="16">
        <v>2</v>
      </c>
      <c r="AC24" s="16" t="s">
        <v>414</v>
      </c>
      <c r="AD24" s="12" t="s">
        <v>116</v>
      </c>
    </row>
    <row r="25" spans="1:30" ht="32">
      <c r="A25" s="12" t="s">
        <v>154</v>
      </c>
      <c r="B25" s="12" t="s">
        <v>155</v>
      </c>
      <c r="C25" s="16" t="s">
        <v>101</v>
      </c>
      <c r="D25" s="17">
        <v>5543</v>
      </c>
      <c r="E25" s="16">
        <v>100</v>
      </c>
      <c r="F25" s="16">
        <v>1.1499999999999999</v>
      </c>
      <c r="G25" s="16">
        <v>0.03</v>
      </c>
      <c r="H25" s="16" t="s">
        <v>102</v>
      </c>
      <c r="I25" s="16">
        <v>0.1</v>
      </c>
      <c r="J25" s="16">
        <v>0.2</v>
      </c>
      <c r="K25" s="16">
        <v>0.2</v>
      </c>
      <c r="L25" s="16">
        <v>0.3</v>
      </c>
      <c r="M25" s="16">
        <v>0.4</v>
      </c>
      <c r="N25" s="16">
        <v>0.5</v>
      </c>
      <c r="O25" s="16">
        <v>0.6</v>
      </c>
      <c r="P25" s="16">
        <v>0.7</v>
      </c>
      <c r="Q25" s="16">
        <v>0.8</v>
      </c>
      <c r="R25" s="16">
        <v>0.9</v>
      </c>
      <c r="S25" s="16">
        <v>1</v>
      </c>
      <c r="T25" s="16">
        <v>1.1000000000000001</v>
      </c>
      <c r="U25" s="16">
        <v>1.2</v>
      </c>
      <c r="V25" s="16">
        <v>1.4</v>
      </c>
      <c r="W25" s="16">
        <v>1.6</v>
      </c>
      <c r="X25" s="16">
        <v>1.8</v>
      </c>
      <c r="Y25" s="16">
        <v>2.1</v>
      </c>
      <c r="Z25" s="16">
        <v>2.5</v>
      </c>
      <c r="AA25" s="16">
        <v>3.2</v>
      </c>
      <c r="AB25" s="16">
        <v>3.9</v>
      </c>
      <c r="AC25" s="16">
        <v>4.5</v>
      </c>
      <c r="AD25" s="12" t="s">
        <v>420</v>
      </c>
    </row>
    <row r="26" spans="1:30" ht="32">
      <c r="A26" s="12" t="s">
        <v>100</v>
      </c>
      <c r="B26" s="12" t="s">
        <v>101</v>
      </c>
      <c r="C26" s="16" t="s">
        <v>157</v>
      </c>
      <c r="D26" s="17">
        <v>5787</v>
      </c>
      <c r="E26" s="16">
        <v>99</v>
      </c>
      <c r="F26" s="16">
        <v>1.92</v>
      </c>
      <c r="G26" s="16">
        <v>0.04</v>
      </c>
      <c r="H26" s="16" t="s">
        <v>102</v>
      </c>
      <c r="I26" s="16">
        <v>0.2</v>
      </c>
      <c r="J26" s="16">
        <v>0.4</v>
      </c>
      <c r="K26" s="16">
        <v>0.5</v>
      </c>
      <c r="L26" s="16">
        <v>0.7</v>
      </c>
      <c r="M26" s="16">
        <v>0.8</v>
      </c>
      <c r="N26" s="16">
        <v>1</v>
      </c>
      <c r="O26" s="16">
        <v>1.1000000000000001</v>
      </c>
      <c r="P26" s="16">
        <v>1.2</v>
      </c>
      <c r="Q26" s="16">
        <v>1.3</v>
      </c>
      <c r="R26" s="16">
        <v>1.5</v>
      </c>
      <c r="S26" s="16">
        <v>1.7</v>
      </c>
      <c r="T26" s="16">
        <v>1.8</v>
      </c>
      <c r="U26" s="16">
        <v>2</v>
      </c>
      <c r="V26" s="16">
        <v>2.2000000000000002</v>
      </c>
      <c r="W26" s="16">
        <v>2.5</v>
      </c>
      <c r="X26" s="16">
        <v>2.8</v>
      </c>
      <c r="Y26" s="16">
        <v>3.3</v>
      </c>
      <c r="Z26" s="16">
        <v>3.8</v>
      </c>
      <c r="AA26" s="16">
        <v>4.9000000000000004</v>
      </c>
      <c r="AB26" s="16">
        <v>6.2</v>
      </c>
      <c r="AC26" s="16">
        <v>8.6999999999999993</v>
      </c>
      <c r="AD26" s="12" t="s">
        <v>429</v>
      </c>
    </row>
    <row r="27" spans="1:30" ht="48">
      <c r="A27" s="12" t="s">
        <v>100</v>
      </c>
      <c r="B27" s="12" t="s">
        <v>101</v>
      </c>
      <c r="C27" s="16" t="s">
        <v>159</v>
      </c>
      <c r="D27" s="17">
        <v>5337</v>
      </c>
      <c r="E27" s="16">
        <v>99</v>
      </c>
      <c r="F27" s="16">
        <v>1.54</v>
      </c>
      <c r="G27" s="16">
        <v>0.04</v>
      </c>
      <c r="H27" s="16" t="s">
        <v>102</v>
      </c>
      <c r="I27" s="16">
        <v>0.1</v>
      </c>
      <c r="J27" s="16">
        <v>0.2</v>
      </c>
      <c r="K27" s="16">
        <v>0.4</v>
      </c>
      <c r="L27" s="16">
        <v>0.4</v>
      </c>
      <c r="M27" s="16">
        <v>0.5</v>
      </c>
      <c r="N27" s="16">
        <v>0.6</v>
      </c>
      <c r="O27" s="16">
        <v>0.7</v>
      </c>
      <c r="P27" s="16">
        <v>0.8</v>
      </c>
      <c r="Q27" s="16">
        <v>0.9</v>
      </c>
      <c r="R27" s="16">
        <v>1.1000000000000001</v>
      </c>
      <c r="S27" s="16">
        <v>1.2</v>
      </c>
      <c r="T27" s="16">
        <v>1.4</v>
      </c>
      <c r="U27" s="16">
        <v>1.5</v>
      </c>
      <c r="V27" s="16">
        <v>1.8</v>
      </c>
      <c r="W27" s="16">
        <v>2</v>
      </c>
      <c r="X27" s="16">
        <v>2.2999999999999998</v>
      </c>
      <c r="Y27" s="16">
        <v>2.7</v>
      </c>
      <c r="Z27" s="16">
        <v>3.3</v>
      </c>
      <c r="AA27" s="16">
        <v>4.3</v>
      </c>
      <c r="AB27" s="16">
        <v>5.8</v>
      </c>
      <c r="AC27" s="16">
        <v>8.1</v>
      </c>
      <c r="AD27" s="12" t="s">
        <v>418</v>
      </c>
    </row>
    <row r="28" spans="1:30" ht="48">
      <c r="A28" s="12" t="s">
        <v>100</v>
      </c>
      <c r="B28" s="12" t="s">
        <v>101</v>
      </c>
      <c r="C28" s="16" t="s">
        <v>160</v>
      </c>
      <c r="D28" s="17">
        <v>10294</v>
      </c>
      <c r="E28" s="16">
        <v>100</v>
      </c>
      <c r="F28" s="16">
        <v>1.31</v>
      </c>
      <c r="G28" s="16">
        <v>0.03</v>
      </c>
      <c r="H28" s="16" t="s">
        <v>102</v>
      </c>
      <c r="I28" s="16">
        <v>0.1</v>
      </c>
      <c r="J28" s="16">
        <v>0.2</v>
      </c>
      <c r="K28" s="16">
        <v>0.2</v>
      </c>
      <c r="L28" s="16">
        <v>0.3</v>
      </c>
      <c r="M28" s="16">
        <v>0.4</v>
      </c>
      <c r="N28" s="16">
        <v>0.5</v>
      </c>
      <c r="O28" s="16">
        <v>0.6</v>
      </c>
      <c r="P28" s="16">
        <v>0.7</v>
      </c>
      <c r="Q28" s="16">
        <v>0.8</v>
      </c>
      <c r="R28" s="16">
        <v>0.9</v>
      </c>
      <c r="S28" s="16">
        <v>1</v>
      </c>
      <c r="T28" s="16">
        <v>1.1000000000000001</v>
      </c>
      <c r="U28" s="16">
        <v>1.3</v>
      </c>
      <c r="V28" s="16">
        <v>1.5</v>
      </c>
      <c r="W28" s="16">
        <v>1.7</v>
      </c>
      <c r="X28" s="16">
        <v>2</v>
      </c>
      <c r="Y28" s="16">
        <v>2.4</v>
      </c>
      <c r="Z28" s="16">
        <v>3</v>
      </c>
      <c r="AA28" s="16">
        <v>4</v>
      </c>
      <c r="AB28" s="16">
        <v>5.0999999999999996</v>
      </c>
      <c r="AC28" s="16">
        <v>6.6</v>
      </c>
      <c r="AD28" s="12" t="s">
        <v>435</v>
      </c>
    </row>
    <row r="29" spans="1:30" ht="32">
      <c r="A29" s="12" t="s">
        <v>100</v>
      </c>
      <c r="B29" s="12" t="s">
        <v>101</v>
      </c>
      <c r="C29" s="16" t="s">
        <v>161</v>
      </c>
      <c r="D29" s="17">
        <v>2082</v>
      </c>
      <c r="E29" s="16">
        <v>99</v>
      </c>
      <c r="F29" s="16">
        <v>1.44</v>
      </c>
      <c r="G29" s="16">
        <v>7.0000000000000007E-2</v>
      </c>
      <c r="H29" s="16" t="s">
        <v>102</v>
      </c>
      <c r="I29" s="16">
        <v>0.1</v>
      </c>
      <c r="J29" s="16">
        <v>0.2</v>
      </c>
      <c r="K29" s="16">
        <v>0.3</v>
      </c>
      <c r="L29" s="16">
        <v>0.3</v>
      </c>
      <c r="M29" s="16">
        <v>0.4</v>
      </c>
      <c r="N29" s="16">
        <v>0.5</v>
      </c>
      <c r="O29" s="16">
        <v>0.6</v>
      </c>
      <c r="P29" s="16">
        <v>0.7</v>
      </c>
      <c r="Q29" s="16">
        <v>0.9</v>
      </c>
      <c r="R29" s="16">
        <v>1</v>
      </c>
      <c r="S29" s="16">
        <v>1.1000000000000001</v>
      </c>
      <c r="T29" s="16">
        <v>1.3</v>
      </c>
      <c r="U29" s="16">
        <v>1.5</v>
      </c>
      <c r="V29" s="16">
        <v>1.6</v>
      </c>
      <c r="W29" s="16">
        <v>1.9</v>
      </c>
      <c r="X29" s="16">
        <v>2.2000000000000002</v>
      </c>
      <c r="Y29" s="16">
        <v>2.5</v>
      </c>
      <c r="Z29" s="16">
        <v>3.1</v>
      </c>
      <c r="AA29" s="16">
        <v>4.3</v>
      </c>
      <c r="AB29" s="16">
        <v>5.8</v>
      </c>
      <c r="AC29" s="16">
        <v>8.1</v>
      </c>
      <c r="AD29" s="12" t="s">
        <v>425</v>
      </c>
    </row>
    <row r="30" spans="1:30" ht="64">
      <c r="A30" s="12" t="s">
        <v>100</v>
      </c>
      <c r="B30" s="12" t="s">
        <v>101</v>
      </c>
      <c r="C30" s="16" t="s">
        <v>163</v>
      </c>
      <c r="D30" s="17">
        <v>1173</v>
      </c>
      <c r="E30" s="16">
        <v>99</v>
      </c>
      <c r="F30" s="16">
        <v>1.21</v>
      </c>
      <c r="G30" s="16">
        <v>0.06</v>
      </c>
      <c r="H30" s="16" t="s">
        <v>150</v>
      </c>
      <c r="I30" s="16">
        <v>0.1</v>
      </c>
      <c r="J30" s="16">
        <v>0.1</v>
      </c>
      <c r="K30" s="16">
        <v>0.2</v>
      </c>
      <c r="L30" s="16">
        <v>0.3</v>
      </c>
      <c r="M30" s="16">
        <v>0.3</v>
      </c>
      <c r="N30" s="16">
        <v>0.4</v>
      </c>
      <c r="O30" s="16">
        <v>0.5</v>
      </c>
      <c r="P30" s="16">
        <v>0.6</v>
      </c>
      <c r="Q30" s="16">
        <v>0.7</v>
      </c>
      <c r="R30" s="16">
        <v>0.8</v>
      </c>
      <c r="S30" s="16">
        <v>0.9</v>
      </c>
      <c r="T30" s="16">
        <v>1</v>
      </c>
      <c r="U30" s="16">
        <v>1.1000000000000001</v>
      </c>
      <c r="V30" s="16">
        <v>1.4</v>
      </c>
      <c r="W30" s="16">
        <v>1.6</v>
      </c>
      <c r="X30" s="16">
        <v>1.9</v>
      </c>
      <c r="Y30" s="16">
        <v>2.2000000000000002</v>
      </c>
      <c r="Z30" s="16">
        <v>2.8</v>
      </c>
      <c r="AA30" s="16">
        <v>3.7</v>
      </c>
      <c r="AB30" s="16">
        <v>4.4000000000000004</v>
      </c>
      <c r="AC30" s="16" t="s">
        <v>444</v>
      </c>
      <c r="AD30" s="12" t="s">
        <v>137</v>
      </c>
    </row>
    <row r="32" spans="1:30">
      <c r="A32" s="18" t="s">
        <v>166</v>
      </c>
    </row>
    <row r="34" spans="1:1">
      <c r="A34" s="18" t="s">
        <v>167</v>
      </c>
    </row>
  </sheetData>
  <mergeCells count="6">
    <mergeCell ref="A5:AD5"/>
    <mergeCell ref="A1:E2"/>
    <mergeCell ref="F1:R2"/>
    <mergeCell ref="A3:G3"/>
    <mergeCell ref="H3:AC3"/>
    <mergeCell ref="A4:C4"/>
  </mergeCells>
  <phoneticPr fontId="9" type="noConversion"/>
  <hyperlinks>
    <hyperlink ref="A32" r:id="rId1" location="q27" display="https://fcid.foodrisk.org/faq/ - q27" xr:uid="{405AD116-97B3-49D7-BC3B-DF5AC092E294}"/>
    <hyperlink ref="A34" r:id="rId2" display="https://www.ars.usda.gov/northeast-area/beltsville-md/beltsville-human-nutrition-research-center/food-surveys-research-group/docs/wweianhanes-overview/" xr:uid="{189DB54C-700D-4230-951A-AC4F27093B0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46415-32F9-4962-AB72-89FEBF516F70}">
  <dimension ref="A1:AD34"/>
  <sheetViews>
    <sheetView workbookViewId="0">
      <selection activeCell="F1" sqref="F1:R2"/>
    </sheetView>
  </sheetViews>
  <sheetFormatPr baseColWidth="10" defaultColWidth="8.83203125" defaultRowHeight="15"/>
  <sheetData>
    <row r="1" spans="1:30">
      <c r="A1" s="68" t="s">
        <v>91</v>
      </c>
      <c r="B1" s="68"/>
      <c r="C1" s="68"/>
      <c r="D1" s="68"/>
      <c r="E1" s="68"/>
      <c r="F1" s="69" t="s">
        <v>392</v>
      </c>
      <c r="G1" s="69"/>
      <c r="H1" s="69"/>
      <c r="I1" s="69"/>
      <c r="J1" s="69"/>
      <c r="K1" s="69"/>
      <c r="L1" s="69"/>
      <c r="M1" s="69"/>
      <c r="N1" s="69"/>
      <c r="O1" s="69"/>
      <c r="P1" s="69"/>
      <c r="Q1" s="69"/>
      <c r="R1" s="69"/>
    </row>
    <row r="2" spans="1:30">
      <c r="A2" s="68"/>
      <c r="B2" s="68"/>
      <c r="C2" s="68"/>
      <c r="D2" s="68"/>
      <c r="E2" s="68"/>
      <c r="F2" s="69"/>
      <c r="G2" s="69"/>
      <c r="H2" s="69"/>
      <c r="I2" s="69"/>
      <c r="J2" s="69"/>
      <c r="K2" s="69"/>
      <c r="L2" s="69"/>
      <c r="M2" s="69"/>
      <c r="N2" s="69"/>
      <c r="O2" s="69"/>
      <c r="P2" s="69"/>
      <c r="Q2" s="69"/>
      <c r="R2" s="69"/>
    </row>
    <row r="3" spans="1:30" ht="16" thickBot="1">
      <c r="A3" s="70"/>
      <c r="B3" s="70"/>
      <c r="C3" s="70"/>
      <c r="D3" s="70"/>
      <c r="E3" s="70"/>
      <c r="F3" s="70"/>
      <c r="G3" s="70"/>
      <c r="H3" s="71" t="s">
        <v>93</v>
      </c>
      <c r="I3" s="71"/>
      <c r="J3" s="71"/>
      <c r="K3" s="71"/>
      <c r="L3" s="71"/>
      <c r="M3" s="71"/>
      <c r="N3" s="71"/>
      <c r="O3" s="71"/>
      <c r="P3" s="71"/>
      <c r="Q3" s="71"/>
      <c r="R3" s="71"/>
      <c r="S3" s="71"/>
      <c r="T3" s="71"/>
      <c r="U3" s="71"/>
      <c r="V3" s="71"/>
      <c r="W3" s="71"/>
      <c r="X3" s="71"/>
      <c r="Y3" s="71"/>
      <c r="Z3" s="71"/>
      <c r="AA3" s="71"/>
      <c r="AB3" s="71"/>
      <c r="AC3" s="71"/>
    </row>
    <row r="4" spans="1:30" ht="49" thickBot="1">
      <c r="A4" s="72"/>
      <c r="B4" s="72"/>
      <c r="C4" s="72"/>
      <c r="D4" s="13" t="s">
        <v>94</v>
      </c>
      <c r="E4" s="13" t="s">
        <v>95</v>
      </c>
      <c r="F4" s="13" t="s">
        <v>12</v>
      </c>
      <c r="G4" s="13" t="s">
        <v>13</v>
      </c>
      <c r="H4" s="14">
        <v>0.01</v>
      </c>
      <c r="I4" s="14">
        <v>0.05</v>
      </c>
      <c r="J4" s="14">
        <v>0.1</v>
      </c>
      <c r="K4" s="14">
        <v>0.15</v>
      </c>
      <c r="L4" s="14">
        <v>0.2</v>
      </c>
      <c r="M4" s="14">
        <v>0.25</v>
      </c>
      <c r="N4" s="14">
        <v>0.3</v>
      </c>
      <c r="O4" s="14">
        <v>0.35</v>
      </c>
      <c r="P4" s="14">
        <v>0.4</v>
      </c>
      <c r="Q4" s="14">
        <v>0.45</v>
      </c>
      <c r="R4" s="14">
        <v>0.5</v>
      </c>
      <c r="S4" s="14">
        <v>0.55000000000000004</v>
      </c>
      <c r="T4" s="14">
        <v>0.6</v>
      </c>
      <c r="U4" s="14">
        <v>0.65</v>
      </c>
      <c r="V4" s="14">
        <v>0.7</v>
      </c>
      <c r="W4" s="14">
        <v>0.75</v>
      </c>
      <c r="X4" s="14">
        <v>0.8</v>
      </c>
      <c r="Y4" s="14">
        <v>0.85</v>
      </c>
      <c r="Z4" s="14">
        <v>0.9</v>
      </c>
      <c r="AA4" s="14">
        <v>0.95</v>
      </c>
      <c r="AB4" s="15">
        <v>0.97499999999999998</v>
      </c>
      <c r="AC4" s="14">
        <v>0.99</v>
      </c>
      <c r="AD4" s="13" t="s">
        <v>14</v>
      </c>
    </row>
    <row r="5" spans="1:30" ht="16" thickBot="1">
      <c r="A5" s="67" t="s">
        <v>445</v>
      </c>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row>
    <row r="6" spans="1:30" ht="32">
      <c r="A6" s="13" t="s">
        <v>97</v>
      </c>
      <c r="B6" s="13" t="s">
        <v>98</v>
      </c>
      <c r="C6" s="13" t="s">
        <v>99</v>
      </c>
    </row>
    <row r="7" spans="1:30" ht="18">
      <c r="A7" s="12" t="s">
        <v>100</v>
      </c>
      <c r="B7" s="12" t="s">
        <v>101</v>
      </c>
      <c r="C7" s="16" t="s">
        <v>101</v>
      </c>
      <c r="D7" s="17">
        <v>24673</v>
      </c>
      <c r="E7" s="16">
        <v>99</v>
      </c>
      <c r="F7" s="19">
        <v>1.57</v>
      </c>
      <c r="G7" s="16">
        <v>0.02</v>
      </c>
      <c r="H7" s="16">
        <v>0</v>
      </c>
      <c r="I7" s="16">
        <v>0.3</v>
      </c>
      <c r="J7" s="16">
        <v>0.4</v>
      </c>
      <c r="K7" s="16">
        <v>0.5</v>
      </c>
      <c r="L7" s="16">
        <v>0.6</v>
      </c>
      <c r="M7" s="16">
        <v>0.7</v>
      </c>
      <c r="N7" s="16">
        <v>0.8</v>
      </c>
      <c r="O7" s="16">
        <v>0.9</v>
      </c>
      <c r="P7" s="16">
        <v>1</v>
      </c>
      <c r="Q7" s="16">
        <v>1.1000000000000001</v>
      </c>
      <c r="R7" s="16">
        <v>1.2</v>
      </c>
      <c r="S7" s="16">
        <v>1.3</v>
      </c>
      <c r="T7" s="16">
        <v>1.4</v>
      </c>
      <c r="U7" s="16">
        <v>1.6</v>
      </c>
      <c r="V7" s="16">
        <v>1.7</v>
      </c>
      <c r="W7" s="16">
        <v>1.9</v>
      </c>
      <c r="X7" s="16">
        <v>2.2000000000000002</v>
      </c>
      <c r="Y7" s="16">
        <v>2.6</v>
      </c>
      <c r="Z7" s="16">
        <v>3.2</v>
      </c>
      <c r="AA7" s="16">
        <v>4.3</v>
      </c>
      <c r="AB7" s="16">
        <v>5.4</v>
      </c>
      <c r="AC7" s="16">
        <v>6.8</v>
      </c>
      <c r="AD7" s="12" t="s">
        <v>446</v>
      </c>
    </row>
    <row r="8" spans="1:30" ht="32">
      <c r="A8" s="12" t="s">
        <v>104</v>
      </c>
      <c r="B8" s="12" t="s">
        <v>101</v>
      </c>
      <c r="C8" s="16" t="s">
        <v>101</v>
      </c>
      <c r="D8" s="16">
        <v>87</v>
      </c>
      <c r="E8" s="16">
        <v>10</v>
      </c>
      <c r="F8" s="16" t="s">
        <v>396</v>
      </c>
      <c r="G8" s="16" t="s">
        <v>396</v>
      </c>
      <c r="H8" s="16" t="s">
        <v>105</v>
      </c>
      <c r="I8" s="16" t="s">
        <v>105</v>
      </c>
      <c r="J8" s="16" t="s">
        <v>105</v>
      </c>
      <c r="K8" s="16" t="s">
        <v>105</v>
      </c>
      <c r="L8" s="16" t="s">
        <v>105</v>
      </c>
      <c r="M8" s="16">
        <v>0</v>
      </c>
      <c r="N8" s="16">
        <v>0</v>
      </c>
      <c r="O8" s="16">
        <v>0</v>
      </c>
      <c r="P8" s="16">
        <v>0</v>
      </c>
      <c r="Q8" s="16">
        <v>0</v>
      </c>
      <c r="R8" s="16">
        <v>0</v>
      </c>
      <c r="S8" s="16">
        <v>0</v>
      </c>
      <c r="T8" s="16">
        <v>0</v>
      </c>
      <c r="U8" s="16">
        <v>0</v>
      </c>
      <c r="V8" s="16">
        <v>0</v>
      </c>
      <c r="W8" s="16">
        <v>0</v>
      </c>
      <c r="X8" s="16" t="s">
        <v>105</v>
      </c>
      <c r="Y8" s="16" t="s">
        <v>105</v>
      </c>
      <c r="Z8" s="16" t="s">
        <v>150</v>
      </c>
      <c r="AA8" s="16" t="s">
        <v>150</v>
      </c>
      <c r="AB8" s="16" t="s">
        <v>123</v>
      </c>
      <c r="AC8" s="16" t="s">
        <v>123</v>
      </c>
      <c r="AD8" s="12" t="s">
        <v>123</v>
      </c>
    </row>
    <row r="9" spans="1:30" ht="32">
      <c r="A9" s="12" t="s">
        <v>110</v>
      </c>
      <c r="B9" s="12" t="s">
        <v>101</v>
      </c>
      <c r="C9" s="16" t="s">
        <v>101</v>
      </c>
      <c r="D9" s="16">
        <v>233</v>
      </c>
      <c r="E9" s="16">
        <v>6</v>
      </c>
      <c r="F9" s="16" t="s">
        <v>396</v>
      </c>
      <c r="G9" s="16" t="s">
        <v>396</v>
      </c>
      <c r="H9" s="16" t="s">
        <v>105</v>
      </c>
      <c r="I9" s="16" t="s">
        <v>105</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t="s">
        <v>150</v>
      </c>
      <c r="AB9" s="16" t="s">
        <v>150</v>
      </c>
      <c r="AC9" s="16" t="s">
        <v>123</v>
      </c>
      <c r="AD9" s="12" t="s">
        <v>436</v>
      </c>
    </row>
    <row r="10" spans="1:30" ht="32">
      <c r="A10" s="12" t="s">
        <v>114</v>
      </c>
      <c r="B10" s="12" t="s">
        <v>101</v>
      </c>
      <c r="C10" s="16" t="s">
        <v>101</v>
      </c>
      <c r="D10" s="16">
        <v>282</v>
      </c>
      <c r="E10" s="16">
        <v>30</v>
      </c>
      <c r="F10" s="16">
        <v>0.12</v>
      </c>
      <c r="G10" s="16">
        <v>0.03</v>
      </c>
      <c r="H10" s="16" t="s">
        <v>105</v>
      </c>
      <c r="I10" s="16" t="s">
        <v>105</v>
      </c>
      <c r="J10" s="16">
        <v>0</v>
      </c>
      <c r="K10" s="16">
        <v>0</v>
      </c>
      <c r="L10" s="16">
        <v>0</v>
      </c>
      <c r="M10" s="16">
        <v>0</v>
      </c>
      <c r="N10" s="16">
        <v>0</v>
      </c>
      <c r="O10" s="16">
        <v>0</v>
      </c>
      <c r="P10" s="16">
        <v>0</v>
      </c>
      <c r="Q10" s="16">
        <v>0</v>
      </c>
      <c r="R10" s="16">
        <v>0</v>
      </c>
      <c r="S10" s="16">
        <v>0</v>
      </c>
      <c r="T10" s="16">
        <v>0</v>
      </c>
      <c r="U10" s="16">
        <v>0</v>
      </c>
      <c r="V10" s="16">
        <v>0</v>
      </c>
      <c r="W10" s="16" t="s">
        <v>102</v>
      </c>
      <c r="X10" s="16" t="s">
        <v>102</v>
      </c>
      <c r="Y10" s="16">
        <v>0.2</v>
      </c>
      <c r="Z10" s="16">
        <v>0.3</v>
      </c>
      <c r="AA10" s="16" t="s">
        <v>447</v>
      </c>
      <c r="AB10" s="16" t="s">
        <v>448</v>
      </c>
      <c r="AC10" s="16" t="s">
        <v>414</v>
      </c>
      <c r="AD10" s="12" t="s">
        <v>449</v>
      </c>
    </row>
    <row r="11" spans="1:30" ht="32">
      <c r="A11" s="12" t="s">
        <v>119</v>
      </c>
      <c r="B11" s="12" t="s">
        <v>101</v>
      </c>
      <c r="C11" s="16" t="s">
        <v>101</v>
      </c>
      <c r="D11" s="16">
        <v>588</v>
      </c>
      <c r="E11" s="16">
        <v>82</v>
      </c>
      <c r="F11" s="16">
        <v>1.59</v>
      </c>
      <c r="G11" s="16">
        <v>0.13</v>
      </c>
      <c r="H11" s="16" t="s">
        <v>105</v>
      </c>
      <c r="I11" s="16">
        <v>0</v>
      </c>
      <c r="J11" s="16">
        <v>0</v>
      </c>
      <c r="K11" s="16">
        <v>0</v>
      </c>
      <c r="L11" s="16" t="s">
        <v>102</v>
      </c>
      <c r="M11" s="16">
        <v>0.2</v>
      </c>
      <c r="N11" s="16">
        <v>0.3</v>
      </c>
      <c r="O11" s="16">
        <v>0.4</v>
      </c>
      <c r="P11" s="16">
        <v>0.6</v>
      </c>
      <c r="Q11" s="16">
        <v>0.7</v>
      </c>
      <c r="R11" s="16">
        <v>1</v>
      </c>
      <c r="S11" s="16">
        <v>1.2</v>
      </c>
      <c r="T11" s="16">
        <v>1.4</v>
      </c>
      <c r="U11" s="16">
        <v>1.7</v>
      </c>
      <c r="V11" s="16">
        <v>1.9</v>
      </c>
      <c r="W11" s="16">
        <v>2.2999999999999998</v>
      </c>
      <c r="X11" s="16">
        <v>2.7</v>
      </c>
      <c r="Y11" s="16">
        <v>3.3</v>
      </c>
      <c r="Z11" s="16">
        <v>4</v>
      </c>
      <c r="AA11" s="16">
        <v>5.3</v>
      </c>
      <c r="AB11" s="16" t="s">
        <v>450</v>
      </c>
      <c r="AC11" s="16" t="s">
        <v>451</v>
      </c>
      <c r="AD11" s="12" t="s">
        <v>400</v>
      </c>
    </row>
    <row r="12" spans="1:30" ht="32">
      <c r="A12" s="12" t="s">
        <v>122</v>
      </c>
      <c r="B12" s="12" t="s">
        <v>101</v>
      </c>
      <c r="C12" s="16" t="s">
        <v>101</v>
      </c>
      <c r="D12" s="16">
        <v>728</v>
      </c>
      <c r="E12" s="16">
        <v>99</v>
      </c>
      <c r="F12" s="16">
        <v>4</v>
      </c>
      <c r="G12" s="16">
        <v>0.19</v>
      </c>
      <c r="H12" s="16" t="s">
        <v>150</v>
      </c>
      <c r="I12" s="16">
        <v>0.6</v>
      </c>
      <c r="J12" s="16">
        <v>1.1000000000000001</v>
      </c>
      <c r="K12" s="16">
        <v>1.6</v>
      </c>
      <c r="L12" s="16">
        <v>1.9</v>
      </c>
      <c r="M12" s="16">
        <v>2.2000000000000002</v>
      </c>
      <c r="N12" s="16">
        <v>2.5</v>
      </c>
      <c r="O12" s="16">
        <v>2.8</v>
      </c>
      <c r="P12" s="16">
        <v>3</v>
      </c>
      <c r="Q12" s="16">
        <v>3.2</v>
      </c>
      <c r="R12" s="16">
        <v>3.5</v>
      </c>
      <c r="S12" s="16">
        <v>3.8</v>
      </c>
      <c r="T12" s="16">
        <v>4.2</v>
      </c>
      <c r="U12" s="16">
        <v>4.5</v>
      </c>
      <c r="V12" s="16">
        <v>4.8</v>
      </c>
      <c r="W12" s="16">
        <v>5.3</v>
      </c>
      <c r="X12" s="16">
        <v>5.8</v>
      </c>
      <c r="Y12" s="16">
        <v>6.4</v>
      </c>
      <c r="Z12" s="16">
        <v>7.3</v>
      </c>
      <c r="AA12" s="16">
        <v>8.8000000000000007</v>
      </c>
      <c r="AB12" s="16" t="s">
        <v>452</v>
      </c>
      <c r="AC12" s="16" t="s">
        <v>453</v>
      </c>
      <c r="AD12" s="12" t="s">
        <v>156</v>
      </c>
    </row>
    <row r="13" spans="1:30" ht="32">
      <c r="A13" s="12" t="s">
        <v>126</v>
      </c>
      <c r="B13" s="12" t="s">
        <v>101</v>
      </c>
      <c r="C13" s="16" t="s">
        <v>101</v>
      </c>
      <c r="D13" s="16">
        <v>751</v>
      </c>
      <c r="E13" s="16">
        <v>100</v>
      </c>
      <c r="F13" s="16">
        <v>4.08</v>
      </c>
      <c r="G13" s="16">
        <v>0.11</v>
      </c>
      <c r="H13" s="16" t="s">
        <v>131</v>
      </c>
      <c r="I13" s="16">
        <v>1.1000000000000001</v>
      </c>
      <c r="J13" s="16">
        <v>1.5</v>
      </c>
      <c r="K13" s="16">
        <v>1.8</v>
      </c>
      <c r="L13" s="16">
        <v>2.1</v>
      </c>
      <c r="M13" s="16">
        <v>2.5</v>
      </c>
      <c r="N13" s="16">
        <v>2.7</v>
      </c>
      <c r="O13" s="16">
        <v>2.9</v>
      </c>
      <c r="P13" s="16">
        <v>3.1</v>
      </c>
      <c r="Q13" s="16">
        <v>3.5</v>
      </c>
      <c r="R13" s="16">
        <v>3.7</v>
      </c>
      <c r="S13" s="16">
        <v>4</v>
      </c>
      <c r="T13" s="16">
        <v>4.3</v>
      </c>
      <c r="U13" s="16">
        <v>4.5999999999999996</v>
      </c>
      <c r="V13" s="16">
        <v>4.9000000000000004</v>
      </c>
      <c r="W13" s="16">
        <v>5.3</v>
      </c>
      <c r="X13" s="16">
        <v>5.9</v>
      </c>
      <c r="Y13" s="16">
        <v>6.4</v>
      </c>
      <c r="Z13" s="16">
        <v>7.1</v>
      </c>
      <c r="AA13" s="16">
        <v>8.5</v>
      </c>
      <c r="AB13" s="16" t="s">
        <v>454</v>
      </c>
      <c r="AC13" s="16" t="s">
        <v>439</v>
      </c>
      <c r="AD13" s="12" t="s">
        <v>446</v>
      </c>
    </row>
    <row r="14" spans="1:30" ht="32">
      <c r="A14" s="12" t="s">
        <v>130</v>
      </c>
      <c r="B14" s="12" t="s">
        <v>101</v>
      </c>
      <c r="C14" s="16" t="s">
        <v>101</v>
      </c>
      <c r="D14" s="17">
        <v>1418</v>
      </c>
      <c r="E14" s="16">
        <v>100</v>
      </c>
      <c r="F14" s="16">
        <v>4.03</v>
      </c>
      <c r="G14" s="16">
        <v>7.0000000000000007E-2</v>
      </c>
      <c r="H14" s="16" t="s">
        <v>436</v>
      </c>
      <c r="I14" s="16">
        <v>1.4</v>
      </c>
      <c r="J14" s="16">
        <v>1.8</v>
      </c>
      <c r="K14" s="16">
        <v>2.1</v>
      </c>
      <c r="L14" s="16">
        <v>2.4</v>
      </c>
      <c r="M14" s="16">
        <v>2.7</v>
      </c>
      <c r="N14" s="16">
        <v>2.8</v>
      </c>
      <c r="O14" s="16">
        <v>3</v>
      </c>
      <c r="P14" s="16">
        <v>3.2</v>
      </c>
      <c r="Q14" s="16">
        <v>3.4</v>
      </c>
      <c r="R14" s="16">
        <v>3.7</v>
      </c>
      <c r="S14" s="16">
        <v>3.9</v>
      </c>
      <c r="T14" s="16">
        <v>4.3</v>
      </c>
      <c r="U14" s="16">
        <v>4.5</v>
      </c>
      <c r="V14" s="16">
        <v>4.8</v>
      </c>
      <c r="W14" s="16">
        <v>5.2</v>
      </c>
      <c r="X14" s="16">
        <v>5.5</v>
      </c>
      <c r="Y14" s="16">
        <v>6.1</v>
      </c>
      <c r="Z14" s="16">
        <v>6.7</v>
      </c>
      <c r="AA14" s="16">
        <v>7.8</v>
      </c>
      <c r="AB14" s="16">
        <v>8.9</v>
      </c>
      <c r="AC14" s="16" t="s">
        <v>416</v>
      </c>
      <c r="AD14" s="12" t="s">
        <v>455</v>
      </c>
    </row>
    <row r="15" spans="1:30" ht="32">
      <c r="A15" s="12" t="s">
        <v>134</v>
      </c>
      <c r="B15" s="12" t="s">
        <v>101</v>
      </c>
      <c r="C15" s="16" t="s">
        <v>101</v>
      </c>
      <c r="D15" s="17">
        <v>2292</v>
      </c>
      <c r="E15" s="16">
        <v>100</v>
      </c>
      <c r="F15" s="16">
        <v>3.2</v>
      </c>
      <c r="G15" s="16">
        <v>0.06</v>
      </c>
      <c r="H15" s="16">
        <v>0.5</v>
      </c>
      <c r="I15" s="16">
        <v>0.9</v>
      </c>
      <c r="J15" s="16">
        <v>1.3</v>
      </c>
      <c r="K15" s="16">
        <v>1.6</v>
      </c>
      <c r="L15" s="16">
        <v>1.8</v>
      </c>
      <c r="M15" s="16">
        <v>2</v>
      </c>
      <c r="N15" s="16">
        <v>2.1</v>
      </c>
      <c r="O15" s="16">
        <v>2.2999999999999998</v>
      </c>
      <c r="P15" s="16">
        <v>2.5</v>
      </c>
      <c r="Q15" s="16">
        <v>2.7</v>
      </c>
      <c r="R15" s="16">
        <v>2.9</v>
      </c>
      <c r="S15" s="16">
        <v>3.2</v>
      </c>
      <c r="T15" s="16">
        <v>3.4</v>
      </c>
      <c r="U15" s="16">
        <v>3.6</v>
      </c>
      <c r="V15" s="16">
        <v>3.8</v>
      </c>
      <c r="W15" s="16">
        <v>4.0999999999999996</v>
      </c>
      <c r="X15" s="16">
        <v>4.4000000000000004</v>
      </c>
      <c r="Y15" s="16">
        <v>4.8</v>
      </c>
      <c r="Z15" s="16">
        <v>5.4</v>
      </c>
      <c r="AA15" s="16">
        <v>6.5</v>
      </c>
      <c r="AB15" s="16">
        <v>7.2</v>
      </c>
      <c r="AC15" s="16">
        <v>8.1999999999999993</v>
      </c>
      <c r="AD15" s="12" t="s">
        <v>453</v>
      </c>
    </row>
    <row r="16" spans="1:30" ht="32">
      <c r="A16" s="12" t="s">
        <v>136</v>
      </c>
      <c r="B16" s="12" t="s">
        <v>101</v>
      </c>
      <c r="C16" s="16" t="s">
        <v>101</v>
      </c>
      <c r="D16" s="17">
        <v>2551</v>
      </c>
      <c r="E16" s="16">
        <v>100</v>
      </c>
      <c r="F16" s="16">
        <v>1.97</v>
      </c>
      <c r="G16" s="16">
        <v>0.05</v>
      </c>
      <c r="H16" s="16">
        <v>0.2</v>
      </c>
      <c r="I16" s="16">
        <v>0.5</v>
      </c>
      <c r="J16" s="16">
        <v>0.7</v>
      </c>
      <c r="K16" s="16">
        <v>0.8</v>
      </c>
      <c r="L16" s="16">
        <v>1</v>
      </c>
      <c r="M16" s="16">
        <v>1.1000000000000001</v>
      </c>
      <c r="N16" s="16">
        <v>1.2</v>
      </c>
      <c r="O16" s="16">
        <v>1.4</v>
      </c>
      <c r="P16" s="16">
        <v>1.5</v>
      </c>
      <c r="Q16" s="16">
        <v>1.6</v>
      </c>
      <c r="R16" s="16">
        <v>1.7</v>
      </c>
      <c r="S16" s="16">
        <v>1.8</v>
      </c>
      <c r="T16" s="16">
        <v>2</v>
      </c>
      <c r="U16" s="16">
        <v>2.2000000000000002</v>
      </c>
      <c r="V16" s="16">
        <v>2.4</v>
      </c>
      <c r="W16" s="16">
        <v>2.6</v>
      </c>
      <c r="X16" s="16">
        <v>2.8</v>
      </c>
      <c r="Y16" s="16">
        <v>3.2</v>
      </c>
      <c r="Z16" s="16">
        <v>3.5</v>
      </c>
      <c r="AA16" s="16">
        <v>4.2</v>
      </c>
      <c r="AB16" s="16">
        <v>4.9000000000000004</v>
      </c>
      <c r="AC16" s="16">
        <v>5.7</v>
      </c>
      <c r="AD16" s="12" t="s">
        <v>454</v>
      </c>
    </row>
    <row r="17" spans="1:30" ht="32">
      <c r="A17" s="12" t="s">
        <v>138</v>
      </c>
      <c r="B17" s="12" t="s">
        <v>101</v>
      </c>
      <c r="C17" s="16" t="s">
        <v>101</v>
      </c>
      <c r="D17" s="17">
        <v>2191</v>
      </c>
      <c r="E17" s="16">
        <v>100</v>
      </c>
      <c r="F17" s="16">
        <v>1.61</v>
      </c>
      <c r="G17" s="16">
        <v>0.04</v>
      </c>
      <c r="H17" s="16">
        <v>0.1</v>
      </c>
      <c r="I17" s="16">
        <v>0.4</v>
      </c>
      <c r="J17" s="16">
        <v>0.5</v>
      </c>
      <c r="K17" s="16">
        <v>0.7</v>
      </c>
      <c r="L17" s="16">
        <v>0.8</v>
      </c>
      <c r="M17" s="16">
        <v>0.9</v>
      </c>
      <c r="N17" s="16">
        <v>1</v>
      </c>
      <c r="O17" s="16">
        <v>1.1000000000000001</v>
      </c>
      <c r="P17" s="16">
        <v>1.2</v>
      </c>
      <c r="Q17" s="16">
        <v>1.3</v>
      </c>
      <c r="R17" s="16">
        <v>1.4</v>
      </c>
      <c r="S17" s="16">
        <v>1.5</v>
      </c>
      <c r="T17" s="16">
        <v>1.6</v>
      </c>
      <c r="U17" s="16">
        <v>1.7</v>
      </c>
      <c r="V17" s="16">
        <v>1.9</v>
      </c>
      <c r="W17" s="16">
        <v>2.1</v>
      </c>
      <c r="X17" s="16">
        <v>2.2999999999999998</v>
      </c>
      <c r="Y17" s="16">
        <v>2.6</v>
      </c>
      <c r="Z17" s="16">
        <v>2.9</v>
      </c>
      <c r="AA17" s="16">
        <v>3.8</v>
      </c>
      <c r="AB17" s="16">
        <v>4.2</v>
      </c>
      <c r="AC17" s="16">
        <v>5.0999999999999996</v>
      </c>
      <c r="AD17" s="12" t="s">
        <v>415</v>
      </c>
    </row>
    <row r="18" spans="1:30" ht="32">
      <c r="A18" s="12" t="s">
        <v>140</v>
      </c>
      <c r="B18" s="12" t="s">
        <v>101</v>
      </c>
      <c r="C18" s="16" t="s">
        <v>101</v>
      </c>
      <c r="D18" s="17">
        <v>2082</v>
      </c>
      <c r="E18" s="16">
        <v>99</v>
      </c>
      <c r="F18" s="16">
        <v>1.33</v>
      </c>
      <c r="G18" s="16">
        <v>0.02</v>
      </c>
      <c r="H18" s="16" t="s">
        <v>102</v>
      </c>
      <c r="I18" s="16">
        <v>0.3</v>
      </c>
      <c r="J18" s="16">
        <v>0.4</v>
      </c>
      <c r="K18" s="16">
        <v>0.5</v>
      </c>
      <c r="L18" s="16">
        <v>0.6</v>
      </c>
      <c r="M18" s="16">
        <v>0.7</v>
      </c>
      <c r="N18" s="16">
        <v>0.8</v>
      </c>
      <c r="O18" s="16">
        <v>0.9</v>
      </c>
      <c r="P18" s="16">
        <v>1</v>
      </c>
      <c r="Q18" s="16">
        <v>1.1000000000000001</v>
      </c>
      <c r="R18" s="16">
        <v>1.2</v>
      </c>
      <c r="S18" s="16">
        <v>1.3</v>
      </c>
      <c r="T18" s="16">
        <v>1.4</v>
      </c>
      <c r="U18" s="16">
        <v>1.5</v>
      </c>
      <c r="V18" s="16">
        <v>1.6</v>
      </c>
      <c r="W18" s="16">
        <v>1.7</v>
      </c>
      <c r="X18" s="16">
        <v>1.9</v>
      </c>
      <c r="Y18" s="16">
        <v>2.1</v>
      </c>
      <c r="Z18" s="16">
        <v>2.5</v>
      </c>
      <c r="AA18" s="16">
        <v>3</v>
      </c>
      <c r="AB18" s="16">
        <v>3.4</v>
      </c>
      <c r="AC18" s="16">
        <v>4.0999999999999996</v>
      </c>
      <c r="AD18" s="12" t="s">
        <v>399</v>
      </c>
    </row>
    <row r="19" spans="1:30" ht="32">
      <c r="A19" s="12" t="s">
        <v>141</v>
      </c>
      <c r="B19" s="12" t="s">
        <v>101</v>
      </c>
      <c r="C19" s="16" t="s">
        <v>101</v>
      </c>
      <c r="D19" s="17">
        <v>2282</v>
      </c>
      <c r="E19" s="16">
        <v>100</v>
      </c>
      <c r="F19" s="16">
        <v>1.25</v>
      </c>
      <c r="G19" s="16">
        <v>0.02</v>
      </c>
      <c r="H19" s="16" t="s">
        <v>102</v>
      </c>
      <c r="I19" s="16">
        <v>0.3</v>
      </c>
      <c r="J19" s="16">
        <v>0.4</v>
      </c>
      <c r="K19" s="16">
        <v>0.5</v>
      </c>
      <c r="L19" s="16">
        <v>0.6</v>
      </c>
      <c r="M19" s="16">
        <v>0.7</v>
      </c>
      <c r="N19" s="16">
        <v>0.8</v>
      </c>
      <c r="O19" s="16">
        <v>0.8</v>
      </c>
      <c r="P19" s="16">
        <v>0.9</v>
      </c>
      <c r="Q19" s="16">
        <v>1</v>
      </c>
      <c r="R19" s="16">
        <v>1.1000000000000001</v>
      </c>
      <c r="S19" s="16">
        <v>1.2</v>
      </c>
      <c r="T19" s="16">
        <v>1.3</v>
      </c>
      <c r="U19" s="16">
        <v>1.4</v>
      </c>
      <c r="V19" s="16">
        <v>1.5</v>
      </c>
      <c r="W19" s="16">
        <v>1.6</v>
      </c>
      <c r="X19" s="16">
        <v>1.8</v>
      </c>
      <c r="Y19" s="16">
        <v>2</v>
      </c>
      <c r="Z19" s="16">
        <v>2.2999999999999998</v>
      </c>
      <c r="AA19" s="16">
        <v>2.9</v>
      </c>
      <c r="AB19" s="16">
        <v>3.5</v>
      </c>
      <c r="AC19" s="16">
        <v>4.4000000000000004</v>
      </c>
      <c r="AD19" s="12" t="s">
        <v>451</v>
      </c>
    </row>
    <row r="20" spans="1:30" ht="32">
      <c r="A20" s="12" t="s">
        <v>143</v>
      </c>
      <c r="B20" s="12" t="s">
        <v>101</v>
      </c>
      <c r="C20" s="16" t="s">
        <v>101</v>
      </c>
      <c r="D20" s="17">
        <v>2378</v>
      </c>
      <c r="E20" s="16">
        <v>100</v>
      </c>
      <c r="F20" s="16">
        <v>1.1299999999999999</v>
      </c>
      <c r="G20" s="16">
        <v>0.03</v>
      </c>
      <c r="H20" s="16" t="s">
        <v>102</v>
      </c>
      <c r="I20" s="16">
        <v>0.3</v>
      </c>
      <c r="J20" s="16">
        <v>0.4</v>
      </c>
      <c r="K20" s="16">
        <v>0.5</v>
      </c>
      <c r="L20" s="16">
        <v>0.6</v>
      </c>
      <c r="M20" s="16">
        <v>0.6</v>
      </c>
      <c r="N20" s="16">
        <v>0.7</v>
      </c>
      <c r="O20" s="16">
        <v>0.8</v>
      </c>
      <c r="P20" s="16">
        <v>0.8</v>
      </c>
      <c r="Q20" s="16">
        <v>0.9</v>
      </c>
      <c r="R20" s="16">
        <v>1</v>
      </c>
      <c r="S20" s="16">
        <v>1.1000000000000001</v>
      </c>
      <c r="T20" s="16">
        <v>1.2</v>
      </c>
      <c r="U20" s="16">
        <v>1.2</v>
      </c>
      <c r="V20" s="16">
        <v>1.4</v>
      </c>
      <c r="W20" s="16">
        <v>1.5</v>
      </c>
      <c r="X20" s="16">
        <v>1.6</v>
      </c>
      <c r="Y20" s="16">
        <v>1.8</v>
      </c>
      <c r="Z20" s="16">
        <v>2</v>
      </c>
      <c r="AA20" s="16">
        <v>2.4</v>
      </c>
      <c r="AB20" s="16">
        <v>2.9</v>
      </c>
      <c r="AC20" s="16">
        <v>3.9</v>
      </c>
      <c r="AD20" s="12" t="s">
        <v>118</v>
      </c>
    </row>
    <row r="21" spans="1:30" ht="32">
      <c r="A21" s="12" t="s">
        <v>145</v>
      </c>
      <c r="B21" s="12" t="s">
        <v>101</v>
      </c>
      <c r="C21" s="16" t="s">
        <v>101</v>
      </c>
      <c r="D21" s="17">
        <v>2103</v>
      </c>
      <c r="E21" s="16">
        <v>100</v>
      </c>
      <c r="F21" s="16">
        <v>1.08</v>
      </c>
      <c r="G21" s="16">
        <v>0.03</v>
      </c>
      <c r="H21" s="16" t="s">
        <v>102</v>
      </c>
      <c r="I21" s="16">
        <v>0.2</v>
      </c>
      <c r="J21" s="16">
        <v>0.4</v>
      </c>
      <c r="K21" s="16">
        <v>0.5</v>
      </c>
      <c r="L21" s="16">
        <v>0.5</v>
      </c>
      <c r="M21" s="16">
        <v>0.6</v>
      </c>
      <c r="N21" s="16">
        <v>0.7</v>
      </c>
      <c r="O21" s="16">
        <v>0.7</v>
      </c>
      <c r="P21" s="16">
        <v>0.8</v>
      </c>
      <c r="Q21" s="16">
        <v>0.9</v>
      </c>
      <c r="R21" s="16">
        <v>0.9</v>
      </c>
      <c r="S21" s="16">
        <v>1</v>
      </c>
      <c r="T21" s="16">
        <v>1.1000000000000001</v>
      </c>
      <c r="U21" s="16">
        <v>1.2</v>
      </c>
      <c r="V21" s="16">
        <v>1.3</v>
      </c>
      <c r="W21" s="16">
        <v>1.4</v>
      </c>
      <c r="X21" s="16">
        <v>1.5</v>
      </c>
      <c r="Y21" s="16">
        <v>1.7</v>
      </c>
      <c r="Z21" s="16">
        <v>1.9</v>
      </c>
      <c r="AA21" s="16">
        <v>2.2999999999999998</v>
      </c>
      <c r="AB21" s="16">
        <v>2.7</v>
      </c>
      <c r="AC21" s="16">
        <v>3.3</v>
      </c>
      <c r="AD21" s="12" t="s">
        <v>456</v>
      </c>
    </row>
    <row r="22" spans="1:30" ht="32">
      <c r="A22" s="12" t="s">
        <v>147</v>
      </c>
      <c r="B22" s="12" t="s">
        <v>101</v>
      </c>
      <c r="C22" s="16" t="s">
        <v>101</v>
      </c>
      <c r="D22" s="17">
        <v>2214</v>
      </c>
      <c r="E22" s="16">
        <v>100</v>
      </c>
      <c r="F22" s="16">
        <v>1</v>
      </c>
      <c r="G22" s="16">
        <v>0.02</v>
      </c>
      <c r="H22" s="16">
        <v>0.1</v>
      </c>
      <c r="I22" s="16">
        <v>0.3</v>
      </c>
      <c r="J22" s="16">
        <v>0.4</v>
      </c>
      <c r="K22" s="16">
        <v>0.5</v>
      </c>
      <c r="L22" s="16">
        <v>0.5</v>
      </c>
      <c r="M22" s="16">
        <v>0.6</v>
      </c>
      <c r="N22" s="16">
        <v>0.7</v>
      </c>
      <c r="O22" s="16">
        <v>0.7</v>
      </c>
      <c r="P22" s="16">
        <v>0.8</v>
      </c>
      <c r="Q22" s="16">
        <v>0.9</v>
      </c>
      <c r="R22" s="16">
        <v>0.9</v>
      </c>
      <c r="S22" s="16">
        <v>1</v>
      </c>
      <c r="T22" s="16">
        <v>1</v>
      </c>
      <c r="U22" s="16">
        <v>1.1000000000000001</v>
      </c>
      <c r="V22" s="16">
        <v>1.2</v>
      </c>
      <c r="W22" s="16">
        <v>1.3</v>
      </c>
      <c r="X22" s="16">
        <v>1.4</v>
      </c>
      <c r="Y22" s="16">
        <v>1.5</v>
      </c>
      <c r="Z22" s="16">
        <v>1.8</v>
      </c>
      <c r="AA22" s="16">
        <v>2.1</v>
      </c>
      <c r="AB22" s="16">
        <v>2.4</v>
      </c>
      <c r="AC22" s="16">
        <v>2.8</v>
      </c>
      <c r="AD22" s="12" t="s">
        <v>457</v>
      </c>
    </row>
    <row r="23" spans="1:30" ht="32">
      <c r="A23" s="12" t="s">
        <v>149</v>
      </c>
      <c r="B23" s="12" t="s">
        <v>101</v>
      </c>
      <c r="C23" s="16" t="s">
        <v>101</v>
      </c>
      <c r="D23" s="17">
        <v>1578</v>
      </c>
      <c r="E23" s="16">
        <v>100</v>
      </c>
      <c r="F23" s="16">
        <v>1.04</v>
      </c>
      <c r="G23" s="16">
        <v>0.02</v>
      </c>
      <c r="H23" s="16" t="s">
        <v>123</v>
      </c>
      <c r="I23" s="16">
        <v>0.3</v>
      </c>
      <c r="J23" s="16">
        <v>0.4</v>
      </c>
      <c r="K23" s="16">
        <v>0.5</v>
      </c>
      <c r="L23" s="16">
        <v>0.6</v>
      </c>
      <c r="M23" s="16">
        <v>0.6</v>
      </c>
      <c r="N23" s="16">
        <v>0.7</v>
      </c>
      <c r="O23" s="16">
        <v>0.8</v>
      </c>
      <c r="P23" s="16">
        <v>0.8</v>
      </c>
      <c r="Q23" s="16">
        <v>0.9</v>
      </c>
      <c r="R23" s="16">
        <v>1</v>
      </c>
      <c r="S23" s="16">
        <v>1</v>
      </c>
      <c r="T23" s="16">
        <v>1.1000000000000001</v>
      </c>
      <c r="U23" s="16">
        <v>1.2</v>
      </c>
      <c r="V23" s="16">
        <v>1.2</v>
      </c>
      <c r="W23" s="16">
        <v>1.3</v>
      </c>
      <c r="X23" s="16">
        <v>1.5</v>
      </c>
      <c r="Y23" s="16">
        <v>1.6</v>
      </c>
      <c r="Z23" s="16">
        <v>1.8</v>
      </c>
      <c r="AA23" s="16">
        <v>2.1</v>
      </c>
      <c r="AB23" s="16">
        <v>2.2999999999999998</v>
      </c>
      <c r="AC23" s="16" t="s">
        <v>458</v>
      </c>
      <c r="AD23" s="12" t="s">
        <v>116</v>
      </c>
    </row>
    <row r="24" spans="1:30" ht="32">
      <c r="A24" s="12" t="s">
        <v>152</v>
      </c>
      <c r="B24" s="12" t="s">
        <v>101</v>
      </c>
      <c r="C24" s="16" t="s">
        <v>101</v>
      </c>
      <c r="D24" s="16">
        <v>915</v>
      </c>
      <c r="E24" s="16">
        <v>100</v>
      </c>
      <c r="F24" s="16">
        <v>1.06</v>
      </c>
      <c r="G24" s="16">
        <v>0.02</v>
      </c>
      <c r="H24" s="16" t="s">
        <v>131</v>
      </c>
      <c r="I24" s="16">
        <v>0.3</v>
      </c>
      <c r="J24" s="16">
        <v>0.4</v>
      </c>
      <c r="K24" s="16">
        <v>0.5</v>
      </c>
      <c r="L24" s="16">
        <v>0.6</v>
      </c>
      <c r="M24" s="16">
        <v>0.6</v>
      </c>
      <c r="N24" s="16">
        <v>0.7</v>
      </c>
      <c r="O24" s="16">
        <v>0.8</v>
      </c>
      <c r="P24" s="16">
        <v>0.8</v>
      </c>
      <c r="Q24" s="16">
        <v>0.9</v>
      </c>
      <c r="R24" s="16">
        <v>1</v>
      </c>
      <c r="S24" s="16">
        <v>1</v>
      </c>
      <c r="T24" s="16">
        <v>1.1000000000000001</v>
      </c>
      <c r="U24" s="16">
        <v>1.2</v>
      </c>
      <c r="V24" s="16">
        <v>1.3</v>
      </c>
      <c r="W24" s="16">
        <v>1.3</v>
      </c>
      <c r="X24" s="16">
        <v>1.5</v>
      </c>
      <c r="Y24" s="16">
        <v>1.6</v>
      </c>
      <c r="Z24" s="16">
        <v>1.8</v>
      </c>
      <c r="AA24" s="16">
        <v>2.1</v>
      </c>
      <c r="AB24" s="16">
        <v>2.5</v>
      </c>
      <c r="AC24" s="16" t="s">
        <v>115</v>
      </c>
      <c r="AD24" s="12" t="s">
        <v>459</v>
      </c>
    </row>
    <row r="25" spans="1:30" ht="32">
      <c r="A25" s="12" t="s">
        <v>154</v>
      </c>
      <c r="B25" s="12" t="s">
        <v>155</v>
      </c>
      <c r="C25" s="16" t="s">
        <v>101</v>
      </c>
      <c r="D25" s="17">
        <v>5543</v>
      </c>
      <c r="E25" s="16">
        <v>100</v>
      </c>
      <c r="F25" s="16">
        <v>1.23</v>
      </c>
      <c r="G25" s="16">
        <v>0.02</v>
      </c>
      <c r="H25" s="16" t="s">
        <v>102</v>
      </c>
      <c r="I25" s="16">
        <v>0.3</v>
      </c>
      <c r="J25" s="16">
        <v>0.4</v>
      </c>
      <c r="K25" s="16">
        <v>0.5</v>
      </c>
      <c r="L25" s="16">
        <v>0.6</v>
      </c>
      <c r="M25" s="16">
        <v>0.7</v>
      </c>
      <c r="N25" s="16">
        <v>0.7</v>
      </c>
      <c r="O25" s="16">
        <v>0.8</v>
      </c>
      <c r="P25" s="16">
        <v>0.9</v>
      </c>
      <c r="Q25" s="16">
        <v>1</v>
      </c>
      <c r="R25" s="16">
        <v>1.1000000000000001</v>
      </c>
      <c r="S25" s="16">
        <v>1.2</v>
      </c>
      <c r="T25" s="16">
        <v>1.2</v>
      </c>
      <c r="U25" s="16">
        <v>1.3</v>
      </c>
      <c r="V25" s="16">
        <v>1.5</v>
      </c>
      <c r="W25" s="16">
        <v>1.6</v>
      </c>
      <c r="X25" s="16">
        <v>1.8</v>
      </c>
      <c r="Y25" s="16">
        <v>2</v>
      </c>
      <c r="Z25" s="16">
        <v>2.2999999999999998</v>
      </c>
      <c r="AA25" s="16">
        <v>2.8</v>
      </c>
      <c r="AB25" s="16">
        <v>3.3</v>
      </c>
      <c r="AC25" s="16">
        <v>3.9</v>
      </c>
      <c r="AD25" s="12" t="s">
        <v>450</v>
      </c>
    </row>
    <row r="26" spans="1:30" ht="32">
      <c r="A26" s="12" t="s">
        <v>100</v>
      </c>
      <c r="B26" s="12" t="s">
        <v>101</v>
      </c>
      <c r="C26" s="16" t="s">
        <v>157</v>
      </c>
      <c r="D26" s="17">
        <v>5787</v>
      </c>
      <c r="E26" s="16">
        <v>98</v>
      </c>
      <c r="F26" s="16">
        <v>1.57</v>
      </c>
      <c r="G26" s="16">
        <v>0.03</v>
      </c>
      <c r="H26" s="16">
        <v>0</v>
      </c>
      <c r="I26" s="16">
        <v>0.1</v>
      </c>
      <c r="J26" s="16">
        <v>0.3</v>
      </c>
      <c r="K26" s="16">
        <v>0.4</v>
      </c>
      <c r="L26" s="16">
        <v>0.6</v>
      </c>
      <c r="M26" s="16">
        <v>0.7</v>
      </c>
      <c r="N26" s="16">
        <v>0.8</v>
      </c>
      <c r="O26" s="16">
        <v>0.8</v>
      </c>
      <c r="P26" s="16">
        <v>0.9</v>
      </c>
      <c r="Q26" s="16">
        <v>1</v>
      </c>
      <c r="R26" s="16">
        <v>1.2</v>
      </c>
      <c r="S26" s="16">
        <v>1.3</v>
      </c>
      <c r="T26" s="16">
        <v>1.5</v>
      </c>
      <c r="U26" s="16">
        <v>1.6</v>
      </c>
      <c r="V26" s="16">
        <v>1.8</v>
      </c>
      <c r="W26" s="16">
        <v>2</v>
      </c>
      <c r="X26" s="16">
        <v>2.4</v>
      </c>
      <c r="Y26" s="16">
        <v>2.7</v>
      </c>
      <c r="Z26" s="16">
        <v>3.4</v>
      </c>
      <c r="AA26" s="16">
        <v>4.4000000000000004</v>
      </c>
      <c r="AB26" s="16">
        <v>5.3</v>
      </c>
      <c r="AC26" s="16">
        <v>6.6</v>
      </c>
      <c r="AD26" s="12" t="s">
        <v>455</v>
      </c>
    </row>
    <row r="27" spans="1:30" ht="48">
      <c r="A27" s="12" t="s">
        <v>100</v>
      </c>
      <c r="B27" s="12" t="s">
        <v>101</v>
      </c>
      <c r="C27" s="16" t="s">
        <v>159</v>
      </c>
      <c r="D27" s="17">
        <v>5337</v>
      </c>
      <c r="E27" s="16">
        <v>99</v>
      </c>
      <c r="F27" s="16">
        <v>1.44</v>
      </c>
      <c r="G27" s="16">
        <v>0.03</v>
      </c>
      <c r="H27" s="16">
        <v>0</v>
      </c>
      <c r="I27" s="16">
        <v>0.2</v>
      </c>
      <c r="J27" s="16">
        <v>0.3</v>
      </c>
      <c r="K27" s="16">
        <v>0.4</v>
      </c>
      <c r="L27" s="16">
        <v>0.5</v>
      </c>
      <c r="M27" s="16">
        <v>0.6</v>
      </c>
      <c r="N27" s="16">
        <v>0.7</v>
      </c>
      <c r="O27" s="16">
        <v>0.8</v>
      </c>
      <c r="P27" s="16">
        <v>0.9</v>
      </c>
      <c r="Q27" s="16">
        <v>0.9</v>
      </c>
      <c r="R27" s="16">
        <v>1</v>
      </c>
      <c r="S27" s="16">
        <v>1.1000000000000001</v>
      </c>
      <c r="T27" s="16">
        <v>1.3</v>
      </c>
      <c r="U27" s="16">
        <v>1.4</v>
      </c>
      <c r="V27" s="16">
        <v>1.6</v>
      </c>
      <c r="W27" s="16">
        <v>1.8</v>
      </c>
      <c r="X27" s="16">
        <v>2.1</v>
      </c>
      <c r="Y27" s="16">
        <v>2.5</v>
      </c>
      <c r="Z27" s="16">
        <v>3.1</v>
      </c>
      <c r="AA27" s="16">
        <v>4.2</v>
      </c>
      <c r="AB27" s="16">
        <v>5.4</v>
      </c>
      <c r="AC27" s="16">
        <v>6.6</v>
      </c>
      <c r="AD27" s="12" t="s">
        <v>446</v>
      </c>
    </row>
    <row r="28" spans="1:30" ht="48">
      <c r="A28" s="12" t="s">
        <v>100</v>
      </c>
      <c r="B28" s="12" t="s">
        <v>101</v>
      </c>
      <c r="C28" s="16" t="s">
        <v>160</v>
      </c>
      <c r="D28" s="17">
        <v>10294</v>
      </c>
      <c r="E28" s="16">
        <v>99</v>
      </c>
      <c r="F28" s="16">
        <v>1.6</v>
      </c>
      <c r="G28" s="16">
        <v>0.02</v>
      </c>
      <c r="H28" s="16" t="s">
        <v>102</v>
      </c>
      <c r="I28" s="16">
        <v>0.3</v>
      </c>
      <c r="J28" s="16">
        <v>0.5</v>
      </c>
      <c r="K28" s="16">
        <v>0.6</v>
      </c>
      <c r="L28" s="16">
        <v>0.7</v>
      </c>
      <c r="M28" s="16">
        <v>0.8</v>
      </c>
      <c r="N28" s="16">
        <v>0.9</v>
      </c>
      <c r="O28" s="16">
        <v>0.9</v>
      </c>
      <c r="P28" s="16">
        <v>1</v>
      </c>
      <c r="Q28" s="16">
        <v>1.1000000000000001</v>
      </c>
      <c r="R28" s="16">
        <v>1.2</v>
      </c>
      <c r="S28" s="16">
        <v>1.3</v>
      </c>
      <c r="T28" s="16">
        <v>1.4</v>
      </c>
      <c r="U28" s="16">
        <v>1.6</v>
      </c>
      <c r="V28" s="16">
        <v>1.7</v>
      </c>
      <c r="W28" s="16">
        <v>1.9</v>
      </c>
      <c r="X28" s="16">
        <v>2.2000000000000002</v>
      </c>
      <c r="Y28" s="16">
        <v>2.6</v>
      </c>
      <c r="Z28" s="16">
        <v>3.2</v>
      </c>
      <c r="AA28" s="16">
        <v>4.3</v>
      </c>
      <c r="AB28" s="16">
        <v>5.4</v>
      </c>
      <c r="AC28" s="16">
        <v>6.9</v>
      </c>
      <c r="AD28" s="12" t="s">
        <v>156</v>
      </c>
    </row>
    <row r="29" spans="1:30" ht="32">
      <c r="A29" s="12" t="s">
        <v>100</v>
      </c>
      <c r="B29" s="12" t="s">
        <v>101</v>
      </c>
      <c r="C29" s="16" t="s">
        <v>161</v>
      </c>
      <c r="D29" s="17">
        <v>2082</v>
      </c>
      <c r="E29" s="16">
        <v>98</v>
      </c>
      <c r="F29" s="16">
        <v>1.52</v>
      </c>
      <c r="G29" s="16">
        <v>0.06</v>
      </c>
      <c r="H29" s="16">
        <v>0</v>
      </c>
      <c r="I29" s="16">
        <v>0.1</v>
      </c>
      <c r="J29" s="16">
        <v>0.3</v>
      </c>
      <c r="K29" s="16">
        <v>0.4</v>
      </c>
      <c r="L29" s="16">
        <v>0.5</v>
      </c>
      <c r="M29" s="16">
        <v>0.6</v>
      </c>
      <c r="N29" s="16">
        <v>0.7</v>
      </c>
      <c r="O29" s="16">
        <v>0.8</v>
      </c>
      <c r="P29" s="16">
        <v>0.9</v>
      </c>
      <c r="Q29" s="16">
        <v>1</v>
      </c>
      <c r="R29" s="16">
        <v>1.1000000000000001</v>
      </c>
      <c r="S29" s="16">
        <v>1.2</v>
      </c>
      <c r="T29" s="16">
        <v>1.4</v>
      </c>
      <c r="U29" s="16">
        <v>1.5</v>
      </c>
      <c r="V29" s="16">
        <v>1.7</v>
      </c>
      <c r="W29" s="16">
        <v>1.9</v>
      </c>
      <c r="X29" s="16">
        <v>2.1</v>
      </c>
      <c r="Y29" s="16">
        <v>2.5</v>
      </c>
      <c r="Z29" s="16">
        <v>3.2</v>
      </c>
      <c r="AA29" s="16">
        <v>4.4000000000000004</v>
      </c>
      <c r="AB29" s="16">
        <v>5.7</v>
      </c>
      <c r="AC29" s="16">
        <v>7.1</v>
      </c>
      <c r="AD29" s="12" t="s">
        <v>460</v>
      </c>
    </row>
    <row r="30" spans="1:30" ht="64">
      <c r="A30" s="12" t="s">
        <v>100</v>
      </c>
      <c r="B30" s="12" t="s">
        <v>101</v>
      </c>
      <c r="C30" s="16" t="s">
        <v>163</v>
      </c>
      <c r="D30" s="17">
        <v>1173</v>
      </c>
      <c r="E30" s="16">
        <v>99</v>
      </c>
      <c r="F30" s="16">
        <v>1.56</v>
      </c>
      <c r="G30" s="16">
        <v>7.0000000000000007E-2</v>
      </c>
      <c r="H30" s="16" t="s">
        <v>105</v>
      </c>
      <c r="I30" s="16">
        <v>0.2</v>
      </c>
      <c r="J30" s="16">
        <v>0.3</v>
      </c>
      <c r="K30" s="16">
        <v>0.5</v>
      </c>
      <c r="L30" s="16">
        <v>0.6</v>
      </c>
      <c r="M30" s="16">
        <v>0.7</v>
      </c>
      <c r="N30" s="16">
        <v>0.8</v>
      </c>
      <c r="O30" s="16">
        <v>0.9</v>
      </c>
      <c r="P30" s="16">
        <v>1</v>
      </c>
      <c r="Q30" s="16">
        <v>1.1000000000000001</v>
      </c>
      <c r="R30" s="16">
        <v>1.2</v>
      </c>
      <c r="S30" s="16">
        <v>1.3</v>
      </c>
      <c r="T30" s="16">
        <v>1.4</v>
      </c>
      <c r="U30" s="16">
        <v>1.5</v>
      </c>
      <c r="V30" s="16">
        <v>1.7</v>
      </c>
      <c r="W30" s="16">
        <v>1.9</v>
      </c>
      <c r="X30" s="16">
        <v>2.2000000000000002</v>
      </c>
      <c r="Y30" s="16">
        <v>2.7</v>
      </c>
      <c r="Z30" s="16">
        <v>3.3</v>
      </c>
      <c r="AA30" s="16">
        <v>4.7</v>
      </c>
      <c r="AB30" s="16">
        <v>5.6</v>
      </c>
      <c r="AC30" s="16" t="s">
        <v>450</v>
      </c>
      <c r="AD30" s="12" t="s">
        <v>406</v>
      </c>
    </row>
    <row r="32" spans="1:30">
      <c r="A32" s="18" t="s">
        <v>166</v>
      </c>
    </row>
    <row r="34" spans="1:1">
      <c r="A34" s="18" t="s">
        <v>167</v>
      </c>
    </row>
  </sheetData>
  <mergeCells count="6">
    <mergeCell ref="A5:AD5"/>
    <mergeCell ref="A1:E2"/>
    <mergeCell ref="F1:R2"/>
    <mergeCell ref="A3:G3"/>
    <mergeCell ref="H3:AC3"/>
    <mergeCell ref="A4:C4"/>
  </mergeCells>
  <phoneticPr fontId="9" type="noConversion"/>
  <hyperlinks>
    <hyperlink ref="A32" r:id="rId1" location="q27" display="https://fcid.foodrisk.org/faq/ - q27" xr:uid="{115908A7-CDA9-4696-9F83-625CF88C4349}"/>
    <hyperlink ref="A34" r:id="rId2" display="https://www.ars.usda.gov/northeast-area/beltsville-md/beltsville-human-nutrition-research-center/food-surveys-research-group/docs/wweianhanes-overview/" xr:uid="{C056528C-94C3-409A-B2B0-542F0DFC272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86FAA-DB2A-4B13-A99B-EB87759FB1D3}">
  <dimension ref="A2:L38"/>
  <sheetViews>
    <sheetView workbookViewId="0">
      <selection activeCell="N20" sqref="N20"/>
    </sheetView>
  </sheetViews>
  <sheetFormatPr baseColWidth="10" defaultColWidth="8.83203125" defaultRowHeight="15"/>
  <cols>
    <col min="1" max="1" width="16.33203125" customWidth="1"/>
  </cols>
  <sheetData>
    <row r="2" spans="1:12">
      <c r="A2" t="s">
        <v>461</v>
      </c>
    </row>
    <row r="4" spans="1:12">
      <c r="A4" s="4" t="s">
        <v>462</v>
      </c>
      <c r="B4" s="4" t="s">
        <v>94</v>
      </c>
      <c r="C4" s="4" t="s">
        <v>12</v>
      </c>
      <c r="D4" s="4" t="s">
        <v>371</v>
      </c>
      <c r="E4" s="4" t="s">
        <v>372</v>
      </c>
      <c r="F4" s="4" t="s">
        <v>463</v>
      </c>
      <c r="G4" s="4" t="s">
        <v>373</v>
      </c>
      <c r="H4" s="4" t="s">
        <v>374</v>
      </c>
      <c r="I4" s="4" t="s">
        <v>375</v>
      </c>
      <c r="J4" s="4" t="s">
        <v>464</v>
      </c>
      <c r="K4" s="4" t="s">
        <v>376</v>
      </c>
      <c r="L4" s="4" t="s">
        <v>377</v>
      </c>
    </row>
    <row r="5" spans="1:12">
      <c r="A5" t="s">
        <v>465</v>
      </c>
      <c r="B5">
        <v>158</v>
      </c>
      <c r="C5">
        <v>4.8</v>
      </c>
      <c r="D5">
        <v>3.6</v>
      </c>
      <c r="E5">
        <v>3.9</v>
      </c>
      <c r="F5">
        <v>4.0999999999999996</v>
      </c>
      <c r="G5">
        <v>4.2</v>
      </c>
      <c r="H5">
        <v>4.8</v>
      </c>
      <c r="I5">
        <v>5.0999999999999996</v>
      </c>
      <c r="J5">
        <v>5.5</v>
      </c>
      <c r="K5">
        <v>5.8</v>
      </c>
      <c r="L5">
        <v>6.2</v>
      </c>
    </row>
    <row r="6" spans="1:12">
      <c r="A6" t="s">
        <v>466</v>
      </c>
      <c r="B6">
        <v>284</v>
      </c>
      <c r="C6">
        <v>5.9</v>
      </c>
      <c r="D6">
        <v>4.5</v>
      </c>
      <c r="E6">
        <v>4.7</v>
      </c>
      <c r="F6">
        <v>4.9000000000000004</v>
      </c>
      <c r="G6">
        <v>5.2</v>
      </c>
      <c r="H6">
        <v>5.9</v>
      </c>
      <c r="I6">
        <v>6.6</v>
      </c>
      <c r="J6">
        <v>6.9</v>
      </c>
      <c r="K6">
        <v>7.1</v>
      </c>
      <c r="L6">
        <v>7.3</v>
      </c>
    </row>
    <row r="7" spans="1:12">
      <c r="A7" t="s">
        <v>467</v>
      </c>
      <c r="B7">
        <v>489</v>
      </c>
      <c r="C7">
        <v>7.4</v>
      </c>
      <c r="D7">
        <v>5.7</v>
      </c>
      <c r="E7">
        <v>6.1</v>
      </c>
      <c r="F7">
        <v>6.3</v>
      </c>
      <c r="G7">
        <v>6.7</v>
      </c>
      <c r="H7">
        <v>7.3</v>
      </c>
      <c r="I7">
        <v>8</v>
      </c>
      <c r="J7">
        <v>8.4</v>
      </c>
      <c r="K7">
        <v>8.6999999999999993</v>
      </c>
      <c r="L7">
        <v>9.1</v>
      </c>
    </row>
    <row r="8" spans="1:12">
      <c r="A8" t="s">
        <v>468</v>
      </c>
      <c r="B8">
        <v>927</v>
      </c>
      <c r="C8">
        <v>9.1999999999999993</v>
      </c>
      <c r="D8">
        <v>7.1</v>
      </c>
      <c r="E8">
        <v>7.5</v>
      </c>
      <c r="F8">
        <v>7.9</v>
      </c>
      <c r="G8">
        <v>8.3000000000000007</v>
      </c>
      <c r="H8">
        <v>9.1</v>
      </c>
      <c r="I8">
        <v>10.1</v>
      </c>
      <c r="J8">
        <v>10.5</v>
      </c>
      <c r="K8">
        <v>10.8</v>
      </c>
      <c r="L8">
        <v>11.3</v>
      </c>
    </row>
    <row r="9" spans="1:12">
      <c r="A9" t="s">
        <v>469</v>
      </c>
      <c r="B9" s="3">
        <v>1176</v>
      </c>
      <c r="C9">
        <v>11.4</v>
      </c>
      <c r="D9">
        <v>8.9</v>
      </c>
      <c r="E9">
        <v>9.3000000000000007</v>
      </c>
      <c r="F9">
        <v>9.6999999999999993</v>
      </c>
      <c r="G9">
        <v>10.3</v>
      </c>
      <c r="H9">
        <v>11.3</v>
      </c>
      <c r="I9">
        <v>12.4</v>
      </c>
      <c r="J9">
        <v>13</v>
      </c>
      <c r="K9">
        <v>13.4</v>
      </c>
      <c r="L9">
        <v>14</v>
      </c>
    </row>
    <row r="10" spans="1:12">
      <c r="A10" t="s">
        <v>470</v>
      </c>
      <c r="B10" s="3">
        <v>1144</v>
      </c>
      <c r="C10">
        <v>13.8</v>
      </c>
      <c r="D10">
        <v>10.9</v>
      </c>
      <c r="E10">
        <v>11.5</v>
      </c>
      <c r="F10">
        <v>11.9</v>
      </c>
      <c r="G10">
        <v>12.4</v>
      </c>
      <c r="H10">
        <v>13.6</v>
      </c>
      <c r="I10">
        <v>14.9</v>
      </c>
      <c r="J10">
        <v>15.8</v>
      </c>
      <c r="K10">
        <v>16.3</v>
      </c>
      <c r="L10">
        <v>17.100000000000001</v>
      </c>
    </row>
    <row r="11" spans="1:12">
      <c r="A11" t="s">
        <v>471</v>
      </c>
      <c r="B11" s="3">
        <v>2318</v>
      </c>
      <c r="C11">
        <v>18.600000000000001</v>
      </c>
      <c r="D11">
        <v>13.5</v>
      </c>
      <c r="E11">
        <v>14.4</v>
      </c>
      <c r="F11">
        <v>14.9</v>
      </c>
      <c r="G11">
        <v>15.8</v>
      </c>
      <c r="H11">
        <v>17.8</v>
      </c>
      <c r="I11">
        <v>20.3</v>
      </c>
      <c r="J11">
        <v>22</v>
      </c>
      <c r="K11">
        <v>23.6</v>
      </c>
      <c r="L11">
        <v>26.2</v>
      </c>
    </row>
    <row r="12" spans="1:12">
      <c r="A12" t="s">
        <v>472</v>
      </c>
      <c r="B12" s="3">
        <v>3593</v>
      </c>
      <c r="C12">
        <v>31.8</v>
      </c>
      <c r="D12">
        <v>19.7</v>
      </c>
      <c r="E12">
        <v>21.3</v>
      </c>
      <c r="F12">
        <v>22.3</v>
      </c>
      <c r="G12">
        <v>24.4</v>
      </c>
      <c r="H12">
        <v>29.3</v>
      </c>
      <c r="I12">
        <v>36.799999999999997</v>
      </c>
      <c r="J12">
        <v>42.1</v>
      </c>
      <c r="K12">
        <v>45.6</v>
      </c>
      <c r="L12">
        <v>52.5</v>
      </c>
    </row>
    <row r="13" spans="1:12">
      <c r="A13" t="s">
        <v>473</v>
      </c>
      <c r="B13" s="3">
        <v>5297</v>
      </c>
      <c r="C13">
        <v>56.8</v>
      </c>
      <c r="D13">
        <v>34</v>
      </c>
      <c r="E13">
        <v>37.200000000000003</v>
      </c>
      <c r="F13">
        <v>40.6</v>
      </c>
      <c r="G13">
        <v>45</v>
      </c>
      <c r="H13">
        <v>54.2</v>
      </c>
      <c r="I13">
        <v>65</v>
      </c>
      <c r="J13">
        <v>73</v>
      </c>
      <c r="K13">
        <v>79.3</v>
      </c>
      <c r="L13">
        <v>88.8</v>
      </c>
    </row>
    <row r="14" spans="1:12">
      <c r="A14" t="s">
        <v>474</v>
      </c>
      <c r="B14" s="3">
        <v>4851</v>
      </c>
      <c r="C14">
        <v>71.599999999999994</v>
      </c>
      <c r="D14">
        <v>48.2</v>
      </c>
      <c r="E14">
        <v>52</v>
      </c>
      <c r="F14">
        <v>54.5</v>
      </c>
      <c r="G14">
        <v>58.4</v>
      </c>
      <c r="H14">
        <v>67.599999999999994</v>
      </c>
      <c r="I14">
        <v>80.599999999999994</v>
      </c>
      <c r="J14">
        <v>90.8</v>
      </c>
      <c r="K14">
        <v>97.7</v>
      </c>
      <c r="L14">
        <v>108</v>
      </c>
    </row>
    <row r="15" spans="1:12">
      <c r="A15" t="s">
        <v>475</v>
      </c>
      <c r="B15" s="3">
        <v>3232</v>
      </c>
      <c r="C15">
        <v>78.400000000000006</v>
      </c>
      <c r="D15">
        <v>50.8</v>
      </c>
      <c r="E15">
        <v>54.7</v>
      </c>
      <c r="F15">
        <v>57.9</v>
      </c>
      <c r="G15">
        <v>63.3</v>
      </c>
      <c r="H15">
        <v>75.2</v>
      </c>
      <c r="I15">
        <v>88.2</v>
      </c>
      <c r="J15">
        <v>98.5</v>
      </c>
      <c r="K15">
        <v>106</v>
      </c>
      <c r="L15">
        <v>118</v>
      </c>
    </row>
    <row r="16" spans="1:12">
      <c r="A16" t="s">
        <v>476</v>
      </c>
      <c r="B16" s="3">
        <v>3176</v>
      </c>
      <c r="C16">
        <v>80.8</v>
      </c>
      <c r="D16">
        <v>53.5</v>
      </c>
      <c r="E16">
        <v>57.4</v>
      </c>
      <c r="F16">
        <v>60.1</v>
      </c>
      <c r="G16">
        <v>66.099999999999994</v>
      </c>
      <c r="H16">
        <v>77.900000000000006</v>
      </c>
      <c r="I16">
        <v>92.4</v>
      </c>
      <c r="J16">
        <v>101</v>
      </c>
      <c r="K16">
        <v>107</v>
      </c>
      <c r="L16">
        <v>118</v>
      </c>
    </row>
    <row r="17" spans="1:12">
      <c r="A17" t="s">
        <v>477</v>
      </c>
      <c r="B17" s="3">
        <v>3121</v>
      </c>
      <c r="C17">
        <v>83.6</v>
      </c>
      <c r="D17">
        <v>54.3</v>
      </c>
      <c r="E17">
        <v>58.8</v>
      </c>
      <c r="F17">
        <v>62.1</v>
      </c>
      <c r="G17">
        <v>68.3</v>
      </c>
      <c r="H17">
        <v>81.400000000000006</v>
      </c>
      <c r="I17">
        <v>95</v>
      </c>
      <c r="J17">
        <v>104</v>
      </c>
      <c r="K17">
        <v>111</v>
      </c>
      <c r="L17">
        <v>122</v>
      </c>
    </row>
    <row r="18" spans="1:12">
      <c r="A18" t="s">
        <v>478</v>
      </c>
      <c r="B18" s="3">
        <v>2387</v>
      </c>
      <c r="C18">
        <v>83.4</v>
      </c>
      <c r="D18">
        <v>54.7</v>
      </c>
      <c r="E18">
        <v>59</v>
      </c>
      <c r="F18">
        <v>62.8</v>
      </c>
      <c r="G18">
        <v>69.099999999999994</v>
      </c>
      <c r="H18">
        <v>80.8</v>
      </c>
      <c r="I18">
        <v>95.5</v>
      </c>
      <c r="J18">
        <v>104</v>
      </c>
      <c r="K18">
        <v>110</v>
      </c>
      <c r="L18">
        <v>120</v>
      </c>
    </row>
    <row r="19" spans="1:12">
      <c r="A19" t="s">
        <v>479</v>
      </c>
      <c r="B19" s="3">
        <v>2782</v>
      </c>
      <c r="C19">
        <v>82.6</v>
      </c>
      <c r="D19">
        <v>55.2</v>
      </c>
      <c r="E19">
        <v>59.8</v>
      </c>
      <c r="F19">
        <v>63.3</v>
      </c>
      <c r="G19">
        <v>69</v>
      </c>
      <c r="H19">
        <v>80.5</v>
      </c>
      <c r="I19">
        <v>94.2</v>
      </c>
      <c r="J19">
        <v>103</v>
      </c>
      <c r="K19">
        <v>109</v>
      </c>
      <c r="L19">
        <v>116</v>
      </c>
    </row>
    <row r="20" spans="1:12">
      <c r="A20" t="s">
        <v>480</v>
      </c>
      <c r="B20" s="3">
        <v>2033</v>
      </c>
      <c r="C20">
        <v>76.400000000000006</v>
      </c>
      <c r="D20">
        <v>52</v>
      </c>
      <c r="E20">
        <v>56.5</v>
      </c>
      <c r="F20">
        <v>59.7</v>
      </c>
      <c r="G20">
        <v>64.400000000000006</v>
      </c>
      <c r="H20">
        <v>74.900000000000006</v>
      </c>
      <c r="I20">
        <v>86.8</v>
      </c>
      <c r="J20">
        <v>93.8</v>
      </c>
      <c r="K20">
        <v>98</v>
      </c>
      <c r="L20">
        <v>106</v>
      </c>
    </row>
    <row r="21" spans="1:12">
      <c r="A21" t="s">
        <v>481</v>
      </c>
      <c r="B21" s="3">
        <v>1430</v>
      </c>
      <c r="C21">
        <v>68.5</v>
      </c>
      <c r="D21">
        <v>46.9</v>
      </c>
      <c r="E21">
        <v>51.4</v>
      </c>
      <c r="F21">
        <v>53.8</v>
      </c>
      <c r="G21">
        <v>58.2</v>
      </c>
      <c r="H21">
        <v>67.400000000000006</v>
      </c>
      <c r="I21">
        <v>77.400000000000006</v>
      </c>
      <c r="J21">
        <v>82.6</v>
      </c>
      <c r="K21">
        <v>87.2</v>
      </c>
      <c r="L21">
        <v>93.6</v>
      </c>
    </row>
    <row r="26" spans="1:12">
      <c r="A26" s="3"/>
    </row>
    <row r="27" spans="1:12">
      <c r="A27" s="3"/>
    </row>
    <row r="28" spans="1:12">
      <c r="A28" s="3"/>
    </row>
    <row r="29" spans="1:12">
      <c r="A29" s="3"/>
    </row>
    <row r="30" spans="1:12">
      <c r="A30" s="3"/>
    </row>
    <row r="31" spans="1:12">
      <c r="A31" s="3"/>
    </row>
    <row r="32" spans="1:12">
      <c r="A32" s="3"/>
    </row>
    <row r="33" spans="1:1">
      <c r="A33" s="3"/>
    </row>
    <row r="34" spans="1:1">
      <c r="A34" s="3"/>
    </row>
    <row r="35" spans="1:1">
      <c r="A35" s="3"/>
    </row>
    <row r="36" spans="1:1">
      <c r="A36" s="3"/>
    </row>
    <row r="37" spans="1:1">
      <c r="A37" s="3"/>
    </row>
    <row r="38" spans="1:1">
      <c r="A38" s="3"/>
    </row>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8b953ff-9137-4f0b-a2fd-156cf1527861">
      <Terms xmlns="http://schemas.microsoft.com/office/infopath/2007/PartnerControls"/>
    </lcf76f155ced4ddcb4097134ff3c332f>
    <TaxCatchAll xmlns="d92d4f40-b75b-4726-8c43-08775ca2dfa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FDED702AE572A4EBCA74829763C817A" ma:contentTypeVersion="15" ma:contentTypeDescription="Create a new document." ma:contentTypeScope="" ma:versionID="05fcb058d04075c886b1ea455ca59e41">
  <xsd:schema xmlns:xsd="http://www.w3.org/2001/XMLSchema" xmlns:xs="http://www.w3.org/2001/XMLSchema" xmlns:p="http://schemas.microsoft.com/office/2006/metadata/properties" xmlns:ns2="b8b953ff-9137-4f0b-a2fd-156cf1527861" xmlns:ns3="d92d4f40-b75b-4726-8c43-08775ca2dfa8" xmlns:ns4="37125d7d-ada4-493a-a04d-3590a3f4e919" targetNamespace="http://schemas.microsoft.com/office/2006/metadata/properties" ma:root="true" ma:fieldsID="aa9ebbebad8b2e22641e435794abc4a7" ns2:_="" ns3:_="" ns4:_="">
    <xsd:import namespace="b8b953ff-9137-4f0b-a2fd-156cf1527861"/>
    <xsd:import namespace="d92d4f40-b75b-4726-8c43-08775ca2dfa8"/>
    <xsd:import namespace="37125d7d-ada4-493a-a04d-3590a3f4e91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b953ff-9137-4f0b-a2fd-156cf15278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ad816ea-8460-453a-b1af-cd753e23c00d"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d4f40-b75b-4726-8c43-08775ca2dfa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1e48ccb-c5e3-4fb6-8723-abfba1da35c3}" ma:internalName="TaxCatchAll" ma:showField="CatchAllData" ma:web="d92d4f40-b75b-4726-8c43-08775ca2dfa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7125d7d-ada4-493a-a04d-3590a3f4e91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C4AAAC-8B38-475E-918B-F5A69C3847AF}">
  <ds:schemaRefs>
    <ds:schemaRef ds:uri="http://schemas.microsoft.com/office/2006/metadata/properties"/>
    <ds:schemaRef ds:uri="http://schemas.microsoft.com/office/infopath/2007/PartnerControls"/>
    <ds:schemaRef ds:uri="b8b953ff-9137-4f0b-a2fd-156cf1527861"/>
    <ds:schemaRef ds:uri="d92d4f40-b75b-4726-8c43-08775ca2dfa8"/>
  </ds:schemaRefs>
</ds:datastoreItem>
</file>

<file path=customXml/itemProps2.xml><?xml version="1.0" encoding="utf-8"?>
<ds:datastoreItem xmlns:ds="http://schemas.openxmlformats.org/officeDocument/2006/customXml" ds:itemID="{062F4BE7-75E0-4478-B0F2-4F2DDF33E3B7}">
  <ds:schemaRefs>
    <ds:schemaRef ds:uri="http://schemas.microsoft.com/sharepoint/v3/contenttype/forms"/>
  </ds:schemaRefs>
</ds:datastoreItem>
</file>

<file path=customXml/itemProps3.xml><?xml version="1.0" encoding="utf-8"?>
<ds:datastoreItem xmlns:ds="http://schemas.openxmlformats.org/officeDocument/2006/customXml" ds:itemID="{716A02BD-4439-483A-8287-24F6B946B3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b953ff-9137-4f0b-a2fd-156cf1527861"/>
    <ds:schemaRef ds:uri="d92d4f40-b75b-4726-8c43-08775ca2dfa8"/>
    <ds:schemaRef ds:uri="37125d7d-ada4-493a-a04d-3590a3f4e9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Fake Concentrations</vt:lpstr>
      <vt:lpstr>BiosolidConc.</vt:lpstr>
      <vt:lpstr>BiosolidAppl</vt:lpstr>
      <vt:lpstr>SoyPlantUptake</vt:lpstr>
      <vt:lpstr>SoyHumanConsumption</vt:lpstr>
      <vt:lpstr>Reference Doses</vt:lpstr>
      <vt:lpstr>Equations</vt:lpstr>
      <vt:lpstr>CornPlantUptake</vt:lpstr>
      <vt:lpstr>WheatPlantUptake</vt:lpstr>
      <vt:lpstr>DairyHumanConsumption</vt:lpstr>
      <vt:lpstr>BeefHumanConsumption</vt:lpstr>
      <vt:lpstr>CornHumanConsumption</vt:lpstr>
      <vt:lpstr>WheatHumanConsumption</vt:lpstr>
      <vt:lpstr>Human Weight</vt:lpstr>
      <vt:lpstr>CornPlantUptake!bbib105</vt:lpstr>
      <vt:lpstr>CornPlantUptake!bbib12</vt:lpstr>
      <vt:lpstr>WheatPlantUptake!bbib120</vt:lpstr>
      <vt:lpstr>CornPlantUptake!bbib71</vt:lpstr>
      <vt:lpstr>CornPlantUptake!bbib88</vt:lpstr>
      <vt:lpstr>SoyPlantUptake!btbl2fna</vt:lpstr>
      <vt:lpstr>CornPlantUptake!btbl3fnb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Vredevoogd</dc:creator>
  <cp:keywords/>
  <dc:description/>
  <cp:lastModifiedBy>稼禾 田</cp:lastModifiedBy>
  <cp:revision/>
  <dcterms:created xsi:type="dcterms:W3CDTF">2024-01-31T21:33:18Z</dcterms:created>
  <dcterms:modified xsi:type="dcterms:W3CDTF">2024-09-05T03:07:13Z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0x010100FFDED702AE572A4EBCA74829763C817A</vt:lpwstr>
  </property>
  <property fmtid="{D5CDD505-2E9C-101B-9397-08002B2CF9AE}" pid="3" name="MediaServiceImageTags">
    <vt:lpwstr/>
  </property>
</Properties>
</file>